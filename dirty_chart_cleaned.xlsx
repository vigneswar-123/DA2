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5BB53F15-0407-4434-A867-63CF52A8513D}" xr6:coauthVersionLast="47" xr6:coauthVersionMax="47" xr10:uidLastSave="{00000000-0000-0000-0000-000000000000}"/>
  <bookViews>
    <workbookView xWindow="3840" yWindow="3840" windowWidth="21600" windowHeight="11295" activeTab="4" xr2:uid="{4AE89E72-668F-4136-BEC4-FB7DB72A66F6}"/>
  </bookViews>
  <sheets>
    <sheet name="Table1_1 (2)" sheetId="4" r:id="rId1"/>
    <sheet name="Table5_1" sheetId="7" r:id="rId2"/>
    <sheet name="Table5" sheetId="6" r:id="rId3"/>
    <sheet name="Sheet1" sheetId="5" r:id="rId4"/>
    <sheet name="Table1_1" sheetId="3" r:id="rId5"/>
    <sheet name="Table1" sheetId="2" r:id="rId6"/>
    <sheet name="my_file (1)" sheetId="1" r:id="rId7"/>
    <sheet name="Sheet2" sheetId="8" r:id="rId8"/>
    <sheet name="Sheet3" sheetId="9" r:id="rId9"/>
    <sheet name="Sheet4" sheetId="10" r:id="rId10"/>
  </sheets>
  <definedNames>
    <definedName name="ExternalData_1" localSheetId="5" hidden="1">Table1!$A$1:$M$21</definedName>
    <definedName name="ExternalData_1" localSheetId="2" hidden="1">Table5!$A$1:$G$2</definedName>
    <definedName name="ExternalData_2" localSheetId="4" hidden="1">Table1_1!$A$1:$L$21</definedName>
    <definedName name="ExternalData_2" localSheetId="1" hidden="1">Table5_1!$A$1:$G$7</definedName>
    <definedName name="ExternalData_3" localSheetId="0" hidden="1">'Table1_1 (2)'!$A$1:$A$2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_2_5bd87761-ffe2-4e26-ad74-a4ca06090eff" name="Table1_2" connection="Query - Table1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7" l="1"/>
  <c r="G3" i="7"/>
  <c r="G4" i="7"/>
  <c r="G5" i="7"/>
  <c r="G6" i="7"/>
  <c r="G2" i="7"/>
  <c r="K4" i="2"/>
  <c r="K3" i="2"/>
  <c r="K2" i="2"/>
  <c r="K15" i="2"/>
  <c r="K18" i="2"/>
  <c r="K19" i="2"/>
  <c r="K20" i="2"/>
  <c r="K21" i="2"/>
  <c r="K5" i="2"/>
  <c r="K6" i="2"/>
  <c r="K7" i="2"/>
  <c r="K8" i="2"/>
  <c r="K9" i="2"/>
  <c r="K10" i="2"/>
  <c r="K11" i="2"/>
  <c r="K17" i="2"/>
  <c r="K12" i="2"/>
  <c r="K16" i="2"/>
  <c r="K13" i="2"/>
  <c r="K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6A855-F36F-44F4-8EAA-C6AD6D14B52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2F09E5FB-DAE9-4EC2-8230-D1B8A03348FE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3810F6E7-5D7F-4E14-9F02-C25987C5C1A9}" keepAlive="1" name="Query - Table1_1 (2)" description="Connection to the 'Table1_1 (2)' query in the workbook." type="5" refreshedVersion="8" background="1" saveData="1">
    <dbPr connection="Provider=Microsoft.Mashup.OleDb.1;Data Source=$Workbook$;Location=&quot;Table1_1 (2)&quot;;Extended Properties=&quot;&quot;" command="SELECT * FROM [Table1_1 (2)]"/>
  </connection>
  <connection id="4" xr16:uid="{6596CD1F-3574-49C3-8BC3-944B0AC672E7}" name="Query - Table1_2" description="Connection to the 'Table1_2' query in the workbook." type="100" refreshedVersion="8" minRefreshableVersion="5">
    <extLst>
      <ext xmlns:x15="http://schemas.microsoft.com/office/spreadsheetml/2010/11/main" uri="{DE250136-89BD-433C-8126-D09CA5730AF9}">
        <x15:connection id="f83924d7-40dc-404c-ab09-4b474f448e61"/>
      </ext>
    </extLst>
  </connection>
  <connection id="5" xr16:uid="{8522FEDA-3E28-40D9-8C3D-75B0D6309F99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6" xr16:uid="{FE1810C5-94DB-4892-8F6D-C047541DAEB7}" keepAlive="1" name="Query - Table5_1" description="Connection to the 'Table5_1' query in the workbook." type="5" refreshedVersion="8" background="1" saveData="1">
    <dbPr connection="Provider=Microsoft.Mashup.OleDb.1;Data Source=$Workbook$;Location=Table5_1;Extended Properties=&quot;&quot;" command="SELECT * FROM [Table5_1]"/>
  </connection>
  <connection id="7" xr16:uid="{05335105-3F52-4910-B73F-E9BAE505D39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<sst xmlns="http://schemas.openxmlformats.org/spreadsheetml/2006/main" count="429" uniqueCount="235">
  <si>
    <t>Rank</t>
  </si>
  <si>
    <t>Peak</t>
  </si>
  <si>
    <t>All Time Peak</t>
  </si>
  <si>
    <t>ActualÂ gross</t>
  </si>
  <si>
    <t>AdjustedÂ gross (in 2022 dollars)</t>
  </si>
  <si>
    <t>Artist</t>
  </si>
  <si>
    <t>Tour title</t>
  </si>
  <si>
    <t>Year(s)</t>
  </si>
  <si>
    <t>Shows</t>
  </si>
  <si>
    <t>Average gross</t>
  </si>
  <si>
    <t>Ref.</t>
  </si>
  <si>
    <t>$780,000,000</t>
  </si>
  <si>
    <t>Taylor Swift</t>
  </si>
  <si>
    <t>The Eras Tour â€ </t>
  </si>
  <si>
    <t>2023â€“2024</t>
  </si>
  <si>
    <t>$13,928,571</t>
  </si>
  <si>
    <t>[1]</t>
  </si>
  <si>
    <t>7[2]</t>
  </si>
  <si>
    <t>$579,800,000</t>
  </si>
  <si>
    <t>BeyoncÃ©</t>
  </si>
  <si>
    <t>Renaissance World Tour</t>
  </si>
  <si>
    <t>$10,353,571</t>
  </si>
  <si>
    <t>[3]</t>
  </si>
  <si>
    <t>1[4]</t>
  </si>
  <si>
    <t>2[5]</t>
  </si>
  <si>
    <t>$411,000,000</t>
  </si>
  <si>
    <t>$560,622,615</t>
  </si>
  <si>
    <t>Madonna</t>
  </si>
  <si>
    <t>Sticky &amp; Sweet Tour â€¡[4][a]</t>
  </si>
  <si>
    <t>2008â€“2009</t>
  </si>
  <si>
    <t>$4,835,294</t>
  </si>
  <si>
    <t>[6]</t>
  </si>
  <si>
    <t>2[7]</t>
  </si>
  <si>
    <t>10[7]</t>
  </si>
  <si>
    <t>$397,300,000</t>
  </si>
  <si>
    <t>$454,751,555</t>
  </si>
  <si>
    <t>Pink</t>
  </si>
  <si>
    <t>Beautiful Trauma World Tour</t>
  </si>
  <si>
    <t>2018â€“2019</t>
  </si>
  <si>
    <t>$2,546,795</t>
  </si>
  <si>
    <t>[7]</t>
  </si>
  <si>
    <t>2[4]</t>
  </si>
  <si>
    <t>$345,675,146</t>
  </si>
  <si>
    <t>$402,844,849</t>
  </si>
  <si>
    <t>Reputation Stadium Tour</t>
  </si>
  <si>
    <t>$6,522,173</t>
  </si>
  <si>
    <t>[8]</t>
  </si>
  <si>
    <t>10[9]</t>
  </si>
  <si>
    <t>$305,158,363</t>
  </si>
  <si>
    <t>$388,978,496</t>
  </si>
  <si>
    <t>The MDNA Tour</t>
  </si>
  <si>
    <t>$3,467,709</t>
  </si>
  <si>
    <t>[9]</t>
  </si>
  <si>
    <t>2[10]</t>
  </si>
  <si>
    <t>$280,000,000</t>
  </si>
  <si>
    <t>$381,932,682</t>
  </si>
  <si>
    <t>Celine Dion</t>
  </si>
  <si>
    <t>Taking Chances World Tour</t>
  </si>
  <si>
    <t>$2,137,405</t>
  </si>
  <si>
    <t>[11]</t>
  </si>
  <si>
    <t>$257,600,000</t>
  </si>
  <si>
    <t>Summer Carnival â€ </t>
  </si>
  <si>
    <t>$6,282,927</t>
  </si>
  <si>
    <t>[12]</t>
  </si>
  <si>
    <t>$256,084,556</t>
  </si>
  <si>
    <t>$312,258,401</t>
  </si>
  <si>
    <t>The Formation World Tour</t>
  </si>
  <si>
    <t>$5,226,215</t>
  </si>
  <si>
    <t>[13]</t>
  </si>
  <si>
    <t>$250,400,000</t>
  </si>
  <si>
    <t>$309,141,878</t>
  </si>
  <si>
    <t>The 1989 World Tour</t>
  </si>
  <si>
    <t>$2,945,882</t>
  </si>
  <si>
    <t>[14]</t>
  </si>
  <si>
    <t>$229,100,000[b]</t>
  </si>
  <si>
    <t>$283,202,896</t>
  </si>
  <si>
    <t>The Mrs. Carter Show World Tour</t>
  </si>
  <si>
    <t>2013â€“2014</t>
  </si>
  <si>
    <t>$1,735,606</t>
  </si>
  <si>
    <t>[15][16]</t>
  </si>
  <si>
    <t>14[17]</t>
  </si>
  <si>
    <t>$227,400,000</t>
  </si>
  <si>
    <t>$295,301,479</t>
  </si>
  <si>
    <t>Lady Gaga</t>
  </si>
  <si>
    <t>The Monster Ball Tour *</t>
  </si>
  <si>
    <t>2009â€“2011</t>
  </si>
  <si>
    <t>$1,118,227</t>
  </si>
  <si>
    <t>[18]</t>
  </si>
  <si>
    <t>$204,000,000</t>
  </si>
  <si>
    <t>$251,856,802</t>
  </si>
  <si>
    <t>Katy Perry</t>
  </si>
  <si>
    <t>Prismatic World Tour</t>
  </si>
  <si>
    <t>2014â€“2015</t>
  </si>
  <si>
    <t>$1,350,993</t>
  </si>
  <si>
    <t>[19]</t>
  </si>
  <si>
    <t>1[20]</t>
  </si>
  <si>
    <t>$200,000,000</t>
  </si>
  <si>
    <t>$299,676,265</t>
  </si>
  <si>
    <t>Cher</t>
  </si>
  <si>
    <t>Living Proof: The Farewell Tour â€¡[21][a]</t>
  </si>
  <si>
    <t>2002â€“2005</t>
  </si>
  <si>
    <t>$615,385</t>
  </si>
  <si>
    <t>[20]</t>
  </si>
  <si>
    <t>2[c]</t>
  </si>
  <si>
    <t>$194,000,000</t>
  </si>
  <si>
    <t>$281,617,035</t>
  </si>
  <si>
    <t>Confessions Tour</t>
  </si>
  <si>
    <t>$3,233,333</t>
  </si>
  <si>
    <t>[5]</t>
  </si>
  <si>
    <t>$184,000,000</t>
  </si>
  <si>
    <t>$227,452,347</t>
  </si>
  <si>
    <t>The Truth About Love Tour</t>
  </si>
  <si>
    <t>$1,295,775</t>
  </si>
  <si>
    <t>[22]</t>
  </si>
  <si>
    <t>$170,000,000</t>
  </si>
  <si>
    <t>$213,568,571</t>
  </si>
  <si>
    <t>Born This Way Ball</t>
  </si>
  <si>
    <t>2012â€“2013</t>
  </si>
  <si>
    <t>$1,734,694</t>
  </si>
  <si>
    <t>[d]</t>
  </si>
  <si>
    <t>$169,800,000</t>
  </si>
  <si>
    <t>$207,046,755</t>
  </si>
  <si>
    <t>Rebel Heart Tour</t>
  </si>
  <si>
    <t>2015â€“2016</t>
  </si>
  <si>
    <t>$2,070,732</t>
  </si>
  <si>
    <t>[4]</t>
  </si>
  <si>
    <t>$167,700,000[e]</t>
  </si>
  <si>
    <t>$204,486,106</t>
  </si>
  <si>
    <t>Adele</t>
  </si>
  <si>
    <t>Adele Live 2016</t>
  </si>
  <si>
    <t>2016â€“2017</t>
  </si>
  <si>
    <t>$1,385,950</t>
  </si>
  <si>
    <t>[25]</t>
  </si>
  <si>
    <t>$150,000,000</t>
  </si>
  <si>
    <t>$185,423,109</t>
  </si>
  <si>
    <t>The Red Tour</t>
  </si>
  <si>
    <t>$1,744,186</t>
  </si>
  <si>
    <t>[26]</t>
  </si>
  <si>
    <t>Ref..1</t>
  </si>
  <si>
    <t>Ref..2</t>
  </si>
  <si>
    <t>Ref..3</t>
  </si>
  <si>
    <t>1</t>
  </si>
  <si>
    <t>2</t>
  </si>
  <si>
    <t>780,000,000</t>
  </si>
  <si>
    <t xml:space="preserve">The Eras Tour </t>
  </si>
  <si>
    <t>2023-€“2024</t>
  </si>
  <si>
    <t/>
  </si>
  <si>
    <t>7</t>
  </si>
  <si>
    <t>579,800,000</t>
  </si>
  <si>
    <t>Beyonc</t>
  </si>
  <si>
    <t>2023</t>
  </si>
  <si>
    <t>411,000,000</t>
  </si>
  <si>
    <t>560,622,615</t>
  </si>
  <si>
    <t xml:space="preserve">Sticky &amp; Sweet Tour </t>
  </si>
  <si>
    <t>2008-€“2009</t>
  </si>
  <si>
    <t>10</t>
  </si>
  <si>
    <t>397,300,000</t>
  </si>
  <si>
    <t>454,751,555</t>
  </si>
  <si>
    <t>2018-€“2019</t>
  </si>
  <si>
    <t>345,675,146</t>
  </si>
  <si>
    <t>402,844,849</t>
  </si>
  <si>
    <t>2018</t>
  </si>
  <si>
    <t>305,158,363</t>
  </si>
  <si>
    <t>388,978,496</t>
  </si>
  <si>
    <t>2012</t>
  </si>
  <si>
    <t>280,000,000</t>
  </si>
  <si>
    <t>381,932,682</t>
  </si>
  <si>
    <t>257,600,000</t>
  </si>
  <si>
    <t xml:space="preserve">Summer Carnival </t>
  </si>
  <si>
    <t>256,084,556</t>
  </si>
  <si>
    <t>312,258,401</t>
  </si>
  <si>
    <t>2016</t>
  </si>
  <si>
    <t>250,400,000</t>
  </si>
  <si>
    <t>309,141,878</t>
  </si>
  <si>
    <t>2015</t>
  </si>
  <si>
    <t>14</t>
  </si>
  <si>
    <t>229,100,000[b]</t>
  </si>
  <si>
    <t>283,202,896</t>
  </si>
  <si>
    <t>2013-€“2014</t>
  </si>
  <si>
    <t>227,400,000</t>
  </si>
  <si>
    <t>295,301,479</t>
  </si>
  <si>
    <t>2009-€“2011</t>
  </si>
  <si>
    <t>204,000,000</t>
  </si>
  <si>
    <t>251,856,802</t>
  </si>
  <si>
    <t>2014-€“2015</t>
  </si>
  <si>
    <t>200,000,000</t>
  </si>
  <si>
    <t>299,676,265</t>
  </si>
  <si>
    <t xml:space="preserve">Living Proof: The Farewell Tour </t>
  </si>
  <si>
    <t>2002-€“2005</t>
  </si>
  <si>
    <t>194,000,000</t>
  </si>
  <si>
    <t>281,617,035</t>
  </si>
  <si>
    <t>2006</t>
  </si>
  <si>
    <t>184,000,000</t>
  </si>
  <si>
    <t>227,452,347</t>
  </si>
  <si>
    <t>170,000,000</t>
  </si>
  <si>
    <t>213,568,571</t>
  </si>
  <si>
    <t>2012-€“2013</t>
  </si>
  <si>
    <t>169,800,000</t>
  </si>
  <si>
    <t>207,046,755</t>
  </si>
  <si>
    <t>2015-€“2016</t>
  </si>
  <si>
    <t>167,700,000[e]</t>
  </si>
  <si>
    <t>204,486,106</t>
  </si>
  <si>
    <t>2016-€“2017</t>
  </si>
  <si>
    <t>150,000,000</t>
  </si>
  <si>
    <t>185,423,109</t>
  </si>
  <si>
    <t>Table1_1 (2)</t>
  </si>
  <si>
    <t>start_year</t>
  </si>
  <si>
    <t>end_year</t>
  </si>
  <si>
    <t xml:space="preserve">The Monster Ball Tour </t>
  </si>
  <si>
    <t>name</t>
  </si>
  <si>
    <t>s1</t>
  </si>
  <si>
    <t>s2</t>
  </si>
  <si>
    <t>capstone</t>
  </si>
  <si>
    <t>overall</t>
  </si>
  <si>
    <t>Column1</t>
  </si>
  <si>
    <t>Column2</t>
  </si>
  <si>
    <t>Column3</t>
  </si>
  <si>
    <t>Column4</t>
  </si>
  <si>
    <t>Column5</t>
  </si>
  <si>
    <t>Column6</t>
  </si>
  <si>
    <t>Column7</t>
  </si>
  <si>
    <t>Name</t>
  </si>
  <si>
    <t>S1</t>
  </si>
  <si>
    <t>S2</t>
  </si>
  <si>
    <t>Capstone</t>
  </si>
  <si>
    <t>Overall</t>
  </si>
  <si>
    <t>S22</t>
  </si>
  <si>
    <t>S23</t>
  </si>
  <si>
    <t>A</t>
  </si>
  <si>
    <t>B</t>
  </si>
  <si>
    <t>C</t>
  </si>
  <si>
    <t>D</t>
  </si>
  <si>
    <t>E</t>
  </si>
  <si>
    <t>id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</si>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</sst>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rgb="FF242424"/>
      <name val="Segoe U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center" wrapText="1" indent="1"/>
    </xf>
    <xf numFmtId="164" fontId="0" fillId="0" borderId="0" xfId="0" applyNumberFormat="1"/>
    <xf numFmtId="2" fontId="0" fillId="0" borderId="0" xfId="0" applyNumberFormat="1"/>
    <xf numFmtId="0" fontId="8" fillId="4" borderId="0" xfId="8"/>
    <xf numFmtId="0" fontId="1" fillId="11" borderId="0" xfId="2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64" formatCode="0.00;[Red]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B9E34CE-FCE2-4318-BA73-DE13517B9A3A}" autoFormatId="16" applyNumberFormats="0" applyBorderFormats="0" applyFontFormats="0" applyPatternFormats="0" applyAlignmentFormats="0" applyWidthHeightFormats="0">
  <queryTableRefresh nextId="2">
    <queryTableFields count="1">
      <queryTableField id="1" name="Table1_1 (2)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FA31CE7-E85F-49BE-8885-F5F8612D8892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AE58699-5937-488E-86ED-371C65F3DD4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67CC0D8-766F-486E-9FCE-2AAD9B1CCDAB}" autoFormatId="16" applyNumberFormats="0" applyBorderFormats="0" applyFontFormats="0" applyPatternFormats="0" applyAlignmentFormats="0" applyWidthHeightFormats="0">
  <queryTableRefresh nextId="13">
    <queryTableFields count="12">
      <queryTableField id="1" name="Rank" tableColumnId="1"/>
      <queryTableField id="2" name="Peak" tableColumnId="2"/>
      <queryTableField id="3" name="All Time Peak" tableColumnId="3"/>
      <queryTableField id="4" name="ActualÂ gross" tableColumnId="4"/>
      <queryTableField id="5" name="AdjustedÂ gross (in 2022 dollars)" tableColumnId="5"/>
      <queryTableField id="6" name="Artist" tableColumnId="6"/>
      <queryTableField id="7" name="Tour title" tableColumnId="7"/>
      <queryTableField id="8" name="start_year" tableColumnId="8"/>
      <queryTableField id="9" name="end_year" tableColumnId="9"/>
      <queryTableField id="10" name="Shows" tableColumnId="10"/>
      <queryTableField id="11" name="Average gross" tableColumnId="11"/>
      <queryTableField id="12" name="Ref..1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1E6974-1591-4FB6-9198-4120FB474634}" autoFormatId="16" applyNumberFormats="0" applyBorderFormats="0" applyFontFormats="0" applyPatternFormats="0" applyAlignmentFormats="0" applyWidthHeightFormats="0">
  <queryTableRefresh nextId="14">
    <queryTableFields count="13">
      <queryTableField id="1" name="Rank" tableColumnId="1"/>
      <queryTableField id="2" name="Peak" tableColumnId="2"/>
      <queryTableField id="3" name="All Time Peak" tableColumnId="3"/>
      <queryTableField id="4" name="ActualÂ gross" tableColumnId="4"/>
      <queryTableField id="5" name="AdjustedÂ gross (in 2022 dollars)" tableColumnId="5"/>
      <queryTableField id="6" name="Artist" tableColumnId="6"/>
      <queryTableField id="7" name="Tour title" tableColumnId="7"/>
      <queryTableField id="8" name="Year(s)" tableColumnId="8"/>
      <queryTableField id="9" name="Shows" tableColumnId="9"/>
      <queryTableField id="10" name="Average gross" tableColumnId="10"/>
      <queryTableField id="11" name="Ref..1" tableColumnId="11"/>
      <queryTableField id="12" name="Ref..2" tableColumnId="12"/>
      <queryTableField id="13" name="Ref..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673F14-19B4-43A5-9798-EFED4B650B7E}" name="Table1_1__2" displayName="Table1_1__2" ref="A1:A2" tableType="queryTable" totalsRowShown="0">
  <autoFilter ref="A1:A2" xr:uid="{DB673F14-19B4-43A5-9798-EFED4B650B7E}"/>
  <tableColumns count="1">
    <tableColumn id="1" xr3:uid="{42155FEF-2438-4AB3-9B78-62E8FC121C0A}" uniqueName="1" name="Table1_1 (2)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B9EFA2-F329-426B-828D-685A06692702}" name="Table5_2" displayName="Table5_2" ref="A1:I7" tableType="queryTable" totalsRowShown="0">
  <tableColumns count="9">
    <tableColumn id="1" xr3:uid="{0A523649-F8FA-4113-9B85-ADA2F698D882}" uniqueName="1" name="Name" queryTableFieldId="1"/>
    <tableColumn id="2" xr3:uid="{54E9C70B-6C91-4900-933D-A2401CEAAC50}" uniqueName="2" name="S1" queryTableFieldId="2"/>
    <tableColumn id="3" xr3:uid="{B0DB4021-D00E-425E-9A51-D19FDF4A3CE6}" uniqueName="3" name="S2" queryTableFieldId="3"/>
    <tableColumn id="4" xr3:uid="{8208171D-28EB-4983-B026-60C34C608B27}" uniqueName="4" name="S22" queryTableFieldId="4"/>
    <tableColumn id="5" xr3:uid="{122A1659-76DB-4271-8CFD-E12F3F0CF1AD}" uniqueName="5" name="S23" queryTableFieldId="5"/>
    <tableColumn id="6" xr3:uid="{DEBE041C-FCC4-492D-8738-5C54B7D8AB5A}" uniqueName="6" name="Capstone" queryTableFieldId="6"/>
    <tableColumn id="7" xr3:uid="{0C11A5B6-7757-40DF-84B4-54162153F3F0}" uniqueName="7" name="Overall" queryTableFieldId="7"/>
    <tableColumn id="8" xr3:uid="{A9DA3D0D-12A8-467D-86A5-D2B5590221CB}" uniqueName="8" name="Column1" queryTableFieldId="8"/>
    <tableColumn id="9" xr3:uid="{9AF2D961-8FEE-48A4-8D1D-16ADFA7F3CCA}" uniqueName="9" name="Column2" queryTableField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C25E84-3EE1-4BD3-A74E-2DBFE87427D8}" name="Table5_1" displayName="Table5_1" ref="A1:G2" tableType="queryTable" totalsRowShown="0">
  <tableColumns count="7">
    <tableColumn id="1" xr3:uid="{01B37297-ED26-4656-A569-51ECC7668558}" uniqueName="1" name="Column1" queryTableFieldId="1"/>
    <tableColumn id="2" xr3:uid="{9F9BA10F-6FD9-4007-BCFF-E1FA55AF438F}" uniqueName="2" name="Column2" queryTableFieldId="2"/>
    <tableColumn id="3" xr3:uid="{70E08EF5-268F-4203-AED9-3DB0CE0EFEEF}" uniqueName="3" name="Column3" queryTableFieldId="3"/>
    <tableColumn id="4" xr3:uid="{264C5B7D-8F20-42B9-9C3B-59E63D3B5C87}" uniqueName="4" name="Column4" queryTableFieldId="4"/>
    <tableColumn id="5" xr3:uid="{165CCA73-11EE-4A7D-9144-0DE322AEC654}" uniqueName="5" name="Column5" queryTableFieldId="5"/>
    <tableColumn id="6" xr3:uid="{761B372A-BB0B-4936-AA92-A4A1E189A2B6}" uniqueName="6" name="Column6" queryTableFieldId="6"/>
    <tableColumn id="7" xr3:uid="{ADBD3C14-9D46-44D5-AE5B-4754A020D439}" uniqueName="7" name="Column7" queryTableFieldId="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9E5A89-BF4A-4F20-9571-AF9918D11AB2}" name="Table5" displayName="Table5" ref="A1:G2" totalsRowShown="0" headerRowDxfId="18" dataDxfId="17">
  <autoFilter ref="A1:G2" xr:uid="{3C9E5A89-BF4A-4F20-9571-AF9918D11AB2}"/>
  <tableColumns count="7">
    <tableColumn id="1" xr3:uid="{B8F56A14-F443-43D3-B90C-032157B48A42}" name="Column1" dataDxfId="16"/>
    <tableColumn id="2" xr3:uid="{49656BB3-0EC1-465C-AD93-1A9303CA6EC1}" name="Column2" dataDxfId="15"/>
    <tableColumn id="3" xr3:uid="{49D9ECB7-52F0-4C71-8C3E-A6F4136F9848}" name="Column3" dataDxfId="14"/>
    <tableColumn id="4" xr3:uid="{9A2805D3-A089-4092-9ADB-B286BE9BE408}" name="Column4" dataDxfId="13"/>
    <tableColumn id="5" xr3:uid="{485D7224-1BEE-4C6E-8D51-CB16D2C6355E}" name="Column5" dataDxfId="12"/>
    <tableColumn id="6" xr3:uid="{D16BC659-5A9C-462F-B259-81DC8F1AF25A}" name="Column6" dataDxfId="11"/>
    <tableColumn id="7" xr3:uid="{82DF3576-AFA1-4C7C-B48A-4C8BFB2419B8}" name="Column7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FBA0C9-F93A-47D8-823C-3751CB4506B6}" name="Table1_2" displayName="Table1_2" ref="A1:L21" tableType="queryTable" totalsRowShown="0">
  <tableColumns count="12">
    <tableColumn id="1" xr3:uid="{E2B6B56B-5149-47D7-9F81-C5AB0FBFC07E}" uniqueName="1" name="Rank" queryTableFieldId="1"/>
    <tableColumn id="2" xr3:uid="{A0D1CC2A-504B-482C-9FDA-B28AF8A95F5D}" uniqueName="2" name="Peak" queryTableFieldId="2"/>
    <tableColumn id="3" xr3:uid="{526C8FF4-267A-425E-8A71-E91DDC60FBBD}" uniqueName="3" name="All Time Peak" queryTableFieldId="3"/>
    <tableColumn id="4" xr3:uid="{67E66C00-9C5E-4FC4-8CE2-2D716B225C1D}" uniqueName="4" name="ActualÂ gross" queryTableFieldId="4"/>
    <tableColumn id="5" xr3:uid="{763CF7BD-591B-44AD-A74E-C35BA5C14F14}" uniqueName="5" name="AdjustedÂ gross (in 2022 dollars)" queryTableFieldId="5"/>
    <tableColumn id="6" xr3:uid="{42A3EB7A-CC3E-4D5D-82A1-C0C1D054BB60}" uniqueName="6" name="Artist" queryTableFieldId="6"/>
    <tableColumn id="7" xr3:uid="{D59411E7-D30B-4CA6-BE0E-50EF97699BCD}" uniqueName="7" name="Tour title" queryTableFieldId="7"/>
    <tableColumn id="8" xr3:uid="{22C80670-10C8-4E21-95D7-F029D6CDCDBE}" uniqueName="8" name="start_year" queryTableFieldId="8"/>
    <tableColumn id="9" xr3:uid="{DCBC5BB0-AEE4-47AD-8137-214E50F6E206}" uniqueName="9" name="end_year" queryTableFieldId="9"/>
    <tableColumn id="10" xr3:uid="{C334EA19-1B72-466F-BBE8-FC7452BB04B2}" uniqueName="10" name="Shows" queryTableFieldId="10"/>
    <tableColumn id="11" xr3:uid="{B270EE0C-FAF6-40C9-972D-AF6D0E2DDB5A}" uniqueName="11" name="Average gross" queryTableFieldId="11"/>
    <tableColumn id="12" xr3:uid="{5D3AC957-E4BA-4CAA-96DF-3F5C9E29EE01}" uniqueName="12" name="Ref..1" queryTableFieldId="1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57BFB4-6F69-419C-BB5F-4C91CC9703B1}" name="Table1_1" displayName="Table1_1" ref="A1:M21" tableType="queryTable" totalsRowShown="0">
  <autoFilter ref="A1:M21" xr:uid="{6957BFB4-6F69-419C-BB5F-4C91CC9703B1}"/>
  <sortState xmlns:xlrd2="http://schemas.microsoft.com/office/spreadsheetml/2017/richdata2" ref="A2:M21">
    <sortCondition ref="K1:K21"/>
  </sortState>
  <tableColumns count="13">
    <tableColumn id="1" xr3:uid="{0E7E2120-C744-4C0F-B958-95887656F246}" uniqueName="1" name="Rank" queryTableFieldId="1"/>
    <tableColumn id="2" xr3:uid="{2E76396B-E8FF-46CE-B290-9A95C241D14A}" uniqueName="2" name="Peak" queryTableFieldId="2" dataDxfId="9"/>
    <tableColumn id="3" xr3:uid="{4A92412F-F0FC-4E7D-BBB1-972448FF273D}" uniqueName="3" name="All Time Peak" queryTableFieldId="3" dataDxfId="8"/>
    <tableColumn id="4" xr3:uid="{E334E574-1897-42BF-9B85-DFE69FE57AC8}" uniqueName="4" name="ActualÂ gross" queryTableFieldId="4" dataDxfId="7"/>
    <tableColumn id="5" xr3:uid="{7F83DA4B-0051-4484-AFE1-3460E1AD9906}" uniqueName="5" name="AdjustedÂ gross (in 2022 dollars)" queryTableFieldId="5" dataDxfId="6"/>
    <tableColumn id="6" xr3:uid="{E8B43636-8073-4995-847D-FC7F52BD5F55}" uniqueName="6" name="Artist" queryTableFieldId="6" dataDxfId="5"/>
    <tableColumn id="7" xr3:uid="{2ABCB5BD-8893-4522-BB7F-86C60AA0ED1F}" uniqueName="7" name="Tour title" queryTableFieldId="7" dataDxfId="4"/>
    <tableColumn id="8" xr3:uid="{99AEB978-FBA2-40EA-8B6D-3D658830B915}" uniqueName="8" name="Year(s)" queryTableFieldId="8" dataDxfId="3"/>
    <tableColumn id="9" xr3:uid="{6B1E62BF-977B-400E-A475-83486A0D1804}" uniqueName="9" name="Shows" queryTableFieldId="9"/>
    <tableColumn id="10" xr3:uid="{05B19ED0-FBC2-4864-95C8-5527C263D1AE}" uniqueName="10" name="Average gross" queryTableFieldId="10" dataDxfId="2"/>
    <tableColumn id="11" xr3:uid="{97352D27-2E3D-4E8D-8CA3-93AD112CF544}" uniqueName="11" name="Ref..1" queryTableFieldId="11" dataDxfId="1"/>
    <tableColumn id="12" xr3:uid="{4E5D804D-C591-4D2D-B0A5-C50B3A20FCEA}" uniqueName="12" name="Ref..2" queryTableFieldId="12" dataDxfId="0"/>
    <tableColumn id="13" xr3:uid="{A7638243-1615-474D-BBC9-C26724208D41}" uniqueName="13" name="Ref..3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01A6C-BA25-4CB1-AC57-5C2E8842C947}" name="Table1" displayName="Table1" ref="A1:K21" totalsRowShown="0">
  <tableColumns count="11">
    <tableColumn id="1" xr3:uid="{622C0995-7EC0-4F58-A3AE-4E64A5C84D54}" name="Rank"/>
    <tableColumn id="2" xr3:uid="{CE514AD6-0985-45C2-9A82-C3D1CFD391EB}" name="Peak"/>
    <tableColumn id="3" xr3:uid="{90F797CD-2895-4E21-B78F-7F4A70B16BBF}" name="All Time Peak"/>
    <tableColumn id="4" xr3:uid="{4E1CFE08-6CE4-4A2D-ADE4-B004962FF00F}" name="ActualÂ gross"/>
    <tableColumn id="5" xr3:uid="{0F3950D8-5F42-4691-8FB1-B883EC45392C}" name="AdjustedÂ gross (in 2022 dollars)"/>
    <tableColumn id="6" xr3:uid="{22517DF4-1BFB-4E7F-B4D3-09E036C41DAB}" name="Artist"/>
    <tableColumn id="7" xr3:uid="{59DF85E6-4411-4A49-AD3B-A4B6BBA62743}" name="Tour title"/>
    <tableColumn id="8" xr3:uid="{823D917A-4C51-42FA-B21F-770C2EBB65C0}" name="Year(s)"/>
    <tableColumn id="9" xr3:uid="{E4807D61-5C0E-4A18-A335-9BCC12B7F58F}" name="Shows"/>
    <tableColumn id="10" xr3:uid="{20D38E88-29C2-40FC-81AE-AD0D1463A8D1}" name="Average gross"/>
    <tableColumn id="11" xr3:uid="{5E2CD314-4B3B-4142-AD6D-988FD6CE8863}" name="Ref.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5E09-FEA5-4E14-8047-939F6815F0AB}">
  <dimension ref="A1:A2"/>
  <sheetViews>
    <sheetView workbookViewId="0">
      <selection activeCell="D6" sqref="D6"/>
    </sheetView>
  </sheetViews>
  <sheetFormatPr defaultRowHeight="15" x14ac:dyDescent="0.25"/>
  <cols>
    <col min="1" max="1" width="14" bestFit="1" customWidth="1"/>
  </cols>
  <sheetData>
    <row r="1" spans="1:1" x14ac:dyDescent="0.25">
      <c r="A1" t="s">
        <v>205</v>
      </c>
    </row>
    <row r="2" spans="1:1" x14ac:dyDescent="0.25">
      <c r="A2">
        <v>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F58C-81E5-4037-B566-6A1B4BE6EC2B}">
  <dimension ref="A1:L10"/>
  <sheetViews>
    <sheetView workbookViewId="0">
      <selection activeCell="K4" sqref="K4"/>
    </sheetView>
  </sheetViews>
  <sheetFormatPr defaultRowHeight="15" x14ac:dyDescent="0.25"/>
  <cols>
    <col min="1" max="7" width="11.140625" bestFit="1" customWidth="1"/>
  </cols>
  <sheetData>
    <row r="1" spans="1:12" x14ac:dyDescent="0.25">
      <c r="A1" t="s">
        <v>221</v>
      </c>
      <c r="B1" t="s">
        <v>222</v>
      </c>
      <c r="C1" t="s">
        <v>223</v>
      </c>
      <c r="D1" t="s">
        <v>226</v>
      </c>
      <c r="E1" t="s">
        <v>227</v>
      </c>
      <c r="F1" t="s">
        <v>224</v>
      </c>
      <c r="G1" t="s">
        <v>225</v>
      </c>
      <c r="H1" t="s">
        <v>214</v>
      </c>
      <c r="I1" t="s">
        <v>215</v>
      </c>
    </row>
    <row r="2" spans="1:12" x14ac:dyDescent="0.25">
      <c r="A2" t="s">
        <v>228</v>
      </c>
      <c r="B2">
        <v>88</v>
      </c>
      <c r="C2">
        <v>88</v>
      </c>
      <c r="D2">
        <v>90</v>
      </c>
      <c r="E2">
        <v>89</v>
      </c>
      <c r="F2">
        <v>95</v>
      </c>
      <c r="G2">
        <f>AVERAGE(Table5_2[[#This Row],[S1]:[Capstone]])</f>
        <v>90</v>
      </c>
    </row>
    <row r="3" spans="1:12" x14ac:dyDescent="0.25">
      <c r="A3" t="s">
        <v>229</v>
      </c>
      <c r="B3">
        <v>90</v>
      </c>
      <c r="C3">
        <v>88</v>
      </c>
      <c r="D3">
        <v>88</v>
      </c>
      <c r="E3">
        <v>88</v>
      </c>
      <c r="F3">
        <v>-4.0000000000000311</v>
      </c>
      <c r="G3">
        <f>AVERAGE(Table5_2[[#This Row],[S1]:[Capstone]])</f>
        <v>69.999999999999986</v>
      </c>
    </row>
    <row r="4" spans="1:12" x14ac:dyDescent="0.25">
      <c r="A4" t="s">
        <v>230</v>
      </c>
      <c r="B4">
        <v>89</v>
      </c>
      <c r="C4">
        <v>90</v>
      </c>
      <c r="D4">
        <v>90</v>
      </c>
      <c r="E4">
        <v>70</v>
      </c>
      <c r="G4">
        <f>AVERAGE(Table5_2[[#This Row],[S1]:[Capstone]])</f>
        <v>84.75</v>
      </c>
    </row>
    <row r="5" spans="1:12" x14ac:dyDescent="0.25">
      <c r="A5" t="s">
        <v>231</v>
      </c>
      <c r="B5">
        <v>78</v>
      </c>
      <c r="C5">
        <v>89</v>
      </c>
      <c r="D5">
        <v>70</v>
      </c>
      <c r="E5">
        <v>90</v>
      </c>
      <c r="G5">
        <f>AVERAGE(Table5_2[[#This Row],[S1]:[Capstone]])</f>
        <v>81.75</v>
      </c>
      <c r="L5">
        <f>G2</f>
        <v>90</v>
      </c>
    </row>
    <row r="6" spans="1:12" x14ac:dyDescent="0.25">
      <c r="A6" t="s">
        <v>232</v>
      </c>
      <c r="B6">
        <v>65</v>
      </c>
      <c r="C6">
        <v>78</v>
      </c>
      <c r="D6">
        <v>88</v>
      </c>
      <c r="E6">
        <v>88</v>
      </c>
      <c r="G6">
        <f>AVERAGE(Table5_2[[#This Row],[S1]:[Capstone]])</f>
        <v>79.75</v>
      </c>
      <c r="K6">
        <v>70</v>
      </c>
      <c r="L6">
        <f t="dataTable" ref="L6:L10" dt2D="0" dtr="0" r1="F2"/>
        <v>85</v>
      </c>
    </row>
    <row r="7" spans="1:12" x14ac:dyDescent="0.25">
      <c r="K7">
        <v>75</v>
      </c>
      <c r="L7">
        <v>86</v>
      </c>
    </row>
    <row r="8" spans="1:12" x14ac:dyDescent="0.25">
      <c r="K8">
        <v>90</v>
      </c>
      <c r="L8">
        <v>89</v>
      </c>
    </row>
    <row r="9" spans="1:12" x14ac:dyDescent="0.25">
      <c r="K9">
        <v>100</v>
      </c>
      <c r="L9">
        <v>91</v>
      </c>
    </row>
    <row r="10" spans="1:12" x14ac:dyDescent="0.25">
      <c r="K10">
        <v>85</v>
      </c>
      <c r="L10">
        <v>88</v>
      </c>
    </row>
  </sheetData>
  <scenarios current="1" show="1">
    <scenario name="F" locked="1" count="1" user="MITS" comment="Created by MITS on 08-06-2026">
      <inputCells r="F2" val="80"/>
    </scenario>
    <scenario name="F100" locked="1" count="1" user="MITS" comment="Created by MITS on 08-06-2026">
      <inputCells r="F2" val="100"/>
    </scenario>
  </scenarios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4964-52D4-4349-B5AC-EC1B2C2CD3DD}">
  <dimension ref="A1:G2"/>
  <sheetViews>
    <sheetView workbookViewId="0">
      <selection activeCell="A2" sqref="A2:G2"/>
    </sheetView>
  </sheetViews>
  <sheetFormatPr defaultRowHeight="15" x14ac:dyDescent="0.25"/>
  <cols>
    <col min="1" max="7" width="11.140625" bestFit="1" customWidth="1"/>
  </cols>
  <sheetData>
    <row r="1" spans="1:7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</row>
    <row r="2" spans="1:7" x14ac:dyDescent="0.25">
      <c r="A2" t="s">
        <v>221</v>
      </c>
      <c r="B2" t="s">
        <v>210</v>
      </c>
      <c r="C2" t="s">
        <v>211</v>
      </c>
      <c r="D2" t="s">
        <v>211</v>
      </c>
      <c r="E2" t="s">
        <v>211</v>
      </c>
      <c r="F2" t="s">
        <v>212</v>
      </c>
      <c r="G2" t="s">
        <v>213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68C5-504C-41B5-87C4-9542087D65BF}">
  <dimension ref="A1:G2"/>
  <sheetViews>
    <sheetView workbookViewId="0">
      <selection sqref="A1:G2"/>
    </sheetView>
  </sheetViews>
  <sheetFormatPr defaultRowHeight="15" x14ac:dyDescent="0.25"/>
  <cols>
    <col min="1" max="7" width="11" customWidth="1"/>
  </cols>
  <sheetData>
    <row r="1" spans="1:7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</row>
    <row r="2" spans="1:7" x14ac:dyDescent="0.25">
      <c r="A2" t="s">
        <v>209</v>
      </c>
      <c r="B2" t="s">
        <v>210</v>
      </c>
      <c r="C2" t="s">
        <v>211</v>
      </c>
      <c r="D2" t="s">
        <v>211</v>
      </c>
      <c r="E2" t="s">
        <v>211</v>
      </c>
      <c r="F2" t="s">
        <v>212</v>
      </c>
      <c r="G2" t="s">
        <v>213</v>
      </c>
    </row>
  </sheetData>
  <sortState xmlns:xlrd2="http://schemas.microsoft.com/office/spreadsheetml/2017/richdata2" ref="A2:G2">
    <sortCondition descending="1" ref="A2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B384-7B10-4F83-BA9F-EE771EED34A4}">
  <dimension ref="A1:L21"/>
  <sheetViews>
    <sheetView tabSelected="1" workbookViewId="0">
      <selection activeCell="E3" sqref="E3"/>
    </sheetView>
  </sheetViews>
  <sheetFormatPr defaultRowHeight="15" x14ac:dyDescent="0.25"/>
  <cols>
    <col min="1" max="2" width="7.5703125" bestFit="1" customWidth="1"/>
    <col min="3" max="3" width="15.42578125" bestFit="1" customWidth="1"/>
    <col min="4" max="4" width="15.140625" bestFit="1" customWidth="1"/>
    <col min="5" max="5" width="32.7109375" bestFit="1" customWidth="1"/>
    <col min="6" max="6" width="11.42578125" bestFit="1" customWidth="1"/>
    <col min="7" max="7" width="30.7109375" bestFit="1" customWidth="1"/>
    <col min="8" max="8" width="12.140625" bestFit="1" customWidth="1"/>
    <col min="9" max="9" width="11.5703125" bestFit="1" customWidth="1"/>
    <col min="10" max="10" width="9" bestFit="1" customWidth="1"/>
    <col min="11" max="11" width="15.7109375" bestFit="1" customWidth="1"/>
    <col min="12" max="12" width="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206</v>
      </c>
      <c r="I1" t="s">
        <v>207</v>
      </c>
      <c r="J1" t="s">
        <v>8</v>
      </c>
      <c r="K1" t="s">
        <v>9</v>
      </c>
      <c r="L1" t="s">
        <v>138</v>
      </c>
    </row>
    <row r="2" spans="1:12" x14ac:dyDescent="0.25">
      <c r="A2">
        <v>17</v>
      </c>
      <c r="B2">
        <v>1</v>
      </c>
      <c r="C2">
        <v>7</v>
      </c>
      <c r="D2">
        <v>170000000</v>
      </c>
      <c r="E2">
        <v>213568571</v>
      </c>
      <c r="F2" t="s">
        <v>83</v>
      </c>
      <c r="G2" t="s">
        <v>116</v>
      </c>
      <c r="H2">
        <v>2012</v>
      </c>
      <c r="I2">
        <v>2013</v>
      </c>
      <c r="J2">
        <v>98</v>
      </c>
      <c r="K2">
        <v>1734694</v>
      </c>
      <c r="L2">
        <v>0</v>
      </c>
    </row>
    <row r="3" spans="1:12" x14ac:dyDescent="0.25">
      <c r="A3">
        <v>1</v>
      </c>
      <c r="B3">
        <v>1</v>
      </c>
      <c r="C3">
        <v>2</v>
      </c>
      <c r="D3">
        <v>780000000</v>
      </c>
      <c r="E3">
        <v>780000000</v>
      </c>
      <c r="F3" t="s">
        <v>12</v>
      </c>
      <c r="G3" t="s">
        <v>144</v>
      </c>
      <c r="H3">
        <v>2023</v>
      </c>
      <c r="I3">
        <v>2024</v>
      </c>
      <c r="J3">
        <v>56</v>
      </c>
      <c r="K3">
        <v>13928571</v>
      </c>
      <c r="L3">
        <v>1</v>
      </c>
    </row>
    <row r="4" spans="1:12" x14ac:dyDescent="0.25">
      <c r="A4">
        <v>7</v>
      </c>
      <c r="B4">
        <v>2</v>
      </c>
      <c r="C4">
        <v>7</v>
      </c>
      <c r="D4">
        <v>280000000</v>
      </c>
      <c r="E4">
        <v>381932682</v>
      </c>
      <c r="F4" t="s">
        <v>56</v>
      </c>
      <c r="G4" t="s">
        <v>57</v>
      </c>
      <c r="H4">
        <v>2008</v>
      </c>
      <c r="I4">
        <v>2009</v>
      </c>
      <c r="J4">
        <v>131</v>
      </c>
      <c r="K4">
        <v>2137405</v>
      </c>
      <c r="L4">
        <v>11</v>
      </c>
    </row>
    <row r="5" spans="1:12" x14ac:dyDescent="0.25">
      <c r="A5">
        <v>7</v>
      </c>
      <c r="B5">
        <v>1</v>
      </c>
      <c r="C5">
        <v>7</v>
      </c>
      <c r="D5">
        <v>257600000</v>
      </c>
      <c r="E5">
        <v>257600000</v>
      </c>
      <c r="F5" t="s">
        <v>36</v>
      </c>
      <c r="G5" t="s">
        <v>168</v>
      </c>
      <c r="H5">
        <v>2023</v>
      </c>
      <c r="I5">
        <v>2024</v>
      </c>
      <c r="J5">
        <v>41</v>
      </c>
      <c r="K5">
        <v>6282927</v>
      </c>
      <c r="L5">
        <v>12</v>
      </c>
    </row>
    <row r="6" spans="1:12" x14ac:dyDescent="0.25">
      <c r="A6">
        <v>9</v>
      </c>
      <c r="B6">
        <v>1</v>
      </c>
      <c r="C6">
        <v>7</v>
      </c>
      <c r="D6">
        <v>256084556</v>
      </c>
      <c r="E6">
        <v>312258401</v>
      </c>
      <c r="F6" t="s">
        <v>149</v>
      </c>
      <c r="G6" t="s">
        <v>66</v>
      </c>
      <c r="H6">
        <v>2016</v>
      </c>
      <c r="I6">
        <v>2016</v>
      </c>
      <c r="J6">
        <v>49</v>
      </c>
      <c r="K6">
        <v>5226215</v>
      </c>
      <c r="L6">
        <v>13</v>
      </c>
    </row>
    <row r="7" spans="1:12" x14ac:dyDescent="0.25">
      <c r="A7">
        <v>10</v>
      </c>
      <c r="B7">
        <v>1</v>
      </c>
      <c r="C7">
        <v>7</v>
      </c>
      <c r="D7">
        <v>250400000</v>
      </c>
      <c r="E7">
        <v>309141878</v>
      </c>
      <c r="F7" t="s">
        <v>12</v>
      </c>
      <c r="G7" t="s">
        <v>71</v>
      </c>
      <c r="H7">
        <v>2015</v>
      </c>
      <c r="I7">
        <v>2015</v>
      </c>
      <c r="J7">
        <v>85</v>
      </c>
      <c r="K7">
        <v>2945882</v>
      </c>
      <c r="L7">
        <v>14</v>
      </c>
    </row>
    <row r="8" spans="1:12" x14ac:dyDescent="0.25">
      <c r="A8">
        <v>11</v>
      </c>
      <c r="B8">
        <v>1</v>
      </c>
      <c r="C8">
        <v>7</v>
      </c>
      <c r="D8">
        <v>229100000</v>
      </c>
      <c r="E8">
        <v>283202896</v>
      </c>
      <c r="F8" t="s">
        <v>149</v>
      </c>
      <c r="G8" t="s">
        <v>76</v>
      </c>
      <c r="H8">
        <v>2013</v>
      </c>
      <c r="I8">
        <v>2014</v>
      </c>
      <c r="J8">
        <v>132</v>
      </c>
      <c r="K8">
        <v>1735606</v>
      </c>
      <c r="L8">
        <v>1516</v>
      </c>
    </row>
    <row r="9" spans="1:12" x14ac:dyDescent="0.25">
      <c r="A9">
        <v>12</v>
      </c>
      <c r="B9">
        <v>1</v>
      </c>
      <c r="C9">
        <v>14</v>
      </c>
      <c r="D9">
        <v>227400000</v>
      </c>
      <c r="E9">
        <v>295301479</v>
      </c>
      <c r="F9" t="s">
        <v>83</v>
      </c>
      <c r="G9" t="s">
        <v>208</v>
      </c>
      <c r="H9">
        <v>2009</v>
      </c>
      <c r="I9">
        <v>2011</v>
      </c>
      <c r="J9">
        <v>203</v>
      </c>
      <c r="K9">
        <v>1118227</v>
      </c>
      <c r="L9">
        <v>18</v>
      </c>
    </row>
    <row r="10" spans="1:12" x14ac:dyDescent="0.25">
      <c r="A10">
        <v>13</v>
      </c>
      <c r="B10">
        <v>1</v>
      </c>
      <c r="C10">
        <v>7</v>
      </c>
      <c r="D10">
        <v>204000000</v>
      </c>
      <c r="E10">
        <v>251856802</v>
      </c>
      <c r="F10" t="s">
        <v>90</v>
      </c>
      <c r="G10" t="s">
        <v>91</v>
      </c>
      <c r="H10">
        <v>2014</v>
      </c>
      <c r="I10">
        <v>2015</v>
      </c>
      <c r="J10">
        <v>151</v>
      </c>
      <c r="K10">
        <v>1350993</v>
      </c>
      <c r="L10">
        <v>19</v>
      </c>
    </row>
    <row r="11" spans="1:12" x14ac:dyDescent="0.25">
      <c r="A11">
        <v>14</v>
      </c>
      <c r="B11">
        <v>1</v>
      </c>
      <c r="C11">
        <v>7</v>
      </c>
      <c r="D11">
        <v>200000000</v>
      </c>
      <c r="E11">
        <v>299676265</v>
      </c>
      <c r="F11" t="s">
        <v>98</v>
      </c>
      <c r="G11" t="s">
        <v>187</v>
      </c>
      <c r="H11">
        <v>2002</v>
      </c>
      <c r="I11">
        <v>2005</v>
      </c>
      <c r="J11">
        <v>325</v>
      </c>
      <c r="K11">
        <v>615385</v>
      </c>
      <c r="L11">
        <v>20</v>
      </c>
    </row>
    <row r="12" spans="1:12" x14ac:dyDescent="0.25">
      <c r="A12">
        <v>16</v>
      </c>
      <c r="B12">
        <v>1</v>
      </c>
      <c r="C12">
        <v>7</v>
      </c>
      <c r="D12">
        <v>184000000</v>
      </c>
      <c r="E12">
        <v>227452347</v>
      </c>
      <c r="F12" t="s">
        <v>36</v>
      </c>
      <c r="G12" t="s">
        <v>111</v>
      </c>
      <c r="H12">
        <v>2013</v>
      </c>
      <c r="I12">
        <v>2014</v>
      </c>
      <c r="J12">
        <v>142</v>
      </c>
      <c r="K12">
        <v>1295775</v>
      </c>
      <c r="L12">
        <v>22</v>
      </c>
    </row>
    <row r="13" spans="1:12" x14ac:dyDescent="0.25">
      <c r="A13">
        <v>19</v>
      </c>
      <c r="B13">
        <v>1</v>
      </c>
      <c r="C13">
        <v>7</v>
      </c>
      <c r="D13">
        <v>167700000</v>
      </c>
      <c r="E13">
        <v>204486106</v>
      </c>
      <c r="F13" t="s">
        <v>128</v>
      </c>
      <c r="G13" t="s">
        <v>129</v>
      </c>
      <c r="H13">
        <v>2016</v>
      </c>
      <c r="I13">
        <v>2017</v>
      </c>
      <c r="J13">
        <v>121</v>
      </c>
      <c r="K13">
        <v>1385950</v>
      </c>
      <c r="L13">
        <v>25</v>
      </c>
    </row>
    <row r="14" spans="1:12" x14ac:dyDescent="0.25">
      <c r="A14">
        <v>20</v>
      </c>
      <c r="B14">
        <v>1</v>
      </c>
      <c r="C14">
        <v>7</v>
      </c>
      <c r="D14">
        <v>150000000</v>
      </c>
      <c r="E14">
        <v>185423109</v>
      </c>
      <c r="F14" t="s">
        <v>12</v>
      </c>
      <c r="G14" t="s">
        <v>135</v>
      </c>
      <c r="H14">
        <v>2013</v>
      </c>
      <c r="I14">
        <v>2014</v>
      </c>
      <c r="J14">
        <v>86</v>
      </c>
      <c r="K14">
        <v>1744186</v>
      </c>
      <c r="L14">
        <v>26</v>
      </c>
    </row>
    <row r="15" spans="1:12" x14ac:dyDescent="0.25">
      <c r="A15">
        <v>2</v>
      </c>
      <c r="B15">
        <v>1</v>
      </c>
      <c r="C15">
        <v>7</v>
      </c>
      <c r="D15">
        <v>579800000</v>
      </c>
      <c r="E15">
        <v>579800000</v>
      </c>
      <c r="F15" t="s">
        <v>149</v>
      </c>
      <c r="G15" t="s">
        <v>20</v>
      </c>
      <c r="H15">
        <v>2023</v>
      </c>
      <c r="I15">
        <v>2023</v>
      </c>
      <c r="J15">
        <v>56</v>
      </c>
      <c r="K15">
        <v>10353571</v>
      </c>
      <c r="L15">
        <v>3</v>
      </c>
    </row>
    <row r="16" spans="1:12" x14ac:dyDescent="0.25">
      <c r="A16">
        <v>18</v>
      </c>
      <c r="B16">
        <v>1</v>
      </c>
      <c r="C16">
        <v>7</v>
      </c>
      <c r="D16">
        <v>169800000</v>
      </c>
      <c r="E16">
        <v>207046755</v>
      </c>
      <c r="F16" t="s">
        <v>27</v>
      </c>
      <c r="G16" t="s">
        <v>122</v>
      </c>
      <c r="H16">
        <v>2015</v>
      </c>
      <c r="I16">
        <v>2016</v>
      </c>
      <c r="J16">
        <v>82</v>
      </c>
      <c r="K16">
        <v>2070732</v>
      </c>
      <c r="L16">
        <v>4</v>
      </c>
    </row>
    <row r="17" spans="1:12" x14ac:dyDescent="0.25">
      <c r="A17">
        <v>15</v>
      </c>
      <c r="B17">
        <v>2</v>
      </c>
      <c r="C17">
        <v>7</v>
      </c>
      <c r="D17">
        <v>194000000</v>
      </c>
      <c r="E17">
        <v>281617035</v>
      </c>
      <c r="F17" t="s">
        <v>27</v>
      </c>
      <c r="G17" t="s">
        <v>106</v>
      </c>
      <c r="H17">
        <v>2006</v>
      </c>
      <c r="I17">
        <v>2006</v>
      </c>
      <c r="J17">
        <v>60</v>
      </c>
      <c r="K17">
        <v>3233333</v>
      </c>
      <c r="L17">
        <v>5</v>
      </c>
    </row>
    <row r="18" spans="1:12" x14ac:dyDescent="0.25">
      <c r="A18">
        <v>3</v>
      </c>
      <c r="B18">
        <v>1</v>
      </c>
      <c r="C18">
        <v>2</v>
      </c>
      <c r="D18">
        <v>411000000</v>
      </c>
      <c r="E18">
        <v>560622615</v>
      </c>
      <c r="F18" t="s">
        <v>27</v>
      </c>
      <c r="G18" t="s">
        <v>153</v>
      </c>
      <c r="H18">
        <v>2008</v>
      </c>
      <c r="I18">
        <v>2009</v>
      </c>
      <c r="J18">
        <v>85</v>
      </c>
      <c r="K18">
        <v>4835294</v>
      </c>
      <c r="L18">
        <v>6</v>
      </c>
    </row>
    <row r="19" spans="1:12" x14ac:dyDescent="0.25">
      <c r="A19">
        <v>4</v>
      </c>
      <c r="B19">
        <v>2</v>
      </c>
      <c r="C19">
        <v>10</v>
      </c>
      <c r="D19">
        <v>397300000</v>
      </c>
      <c r="E19">
        <v>454751555</v>
      </c>
      <c r="F19" t="s">
        <v>36</v>
      </c>
      <c r="G19" t="s">
        <v>37</v>
      </c>
      <c r="H19">
        <v>2018</v>
      </c>
      <c r="I19">
        <v>2019</v>
      </c>
      <c r="J19">
        <v>156</v>
      </c>
      <c r="K19">
        <v>2546795</v>
      </c>
      <c r="L19">
        <v>7</v>
      </c>
    </row>
    <row r="20" spans="1:12" x14ac:dyDescent="0.25">
      <c r="A20">
        <v>5</v>
      </c>
      <c r="B20">
        <v>2</v>
      </c>
      <c r="C20">
        <v>7</v>
      </c>
      <c r="D20">
        <v>345675146</v>
      </c>
      <c r="E20">
        <v>402844849</v>
      </c>
      <c r="F20" t="s">
        <v>12</v>
      </c>
      <c r="G20" t="s">
        <v>44</v>
      </c>
      <c r="H20">
        <v>2018</v>
      </c>
      <c r="I20">
        <v>2018</v>
      </c>
      <c r="J20">
        <v>53</v>
      </c>
      <c r="K20">
        <v>6522173</v>
      </c>
      <c r="L20">
        <v>8</v>
      </c>
    </row>
    <row r="21" spans="1:12" x14ac:dyDescent="0.25">
      <c r="A21">
        <v>6</v>
      </c>
      <c r="B21">
        <v>2</v>
      </c>
      <c r="C21">
        <v>10</v>
      </c>
      <c r="D21">
        <v>305158363</v>
      </c>
      <c r="E21">
        <v>388978496</v>
      </c>
      <c r="F21" t="s">
        <v>27</v>
      </c>
      <c r="G21" t="s">
        <v>50</v>
      </c>
      <c r="H21">
        <v>2012</v>
      </c>
      <c r="I21">
        <v>2012</v>
      </c>
      <c r="J21">
        <v>88</v>
      </c>
      <c r="K21">
        <v>3467709</v>
      </c>
      <c r="L21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708D-F6A3-4FDC-B931-ABA5D5914803}">
  <dimension ref="A1:M24"/>
  <sheetViews>
    <sheetView topLeftCell="A4" workbookViewId="0">
      <selection activeCell="K2" sqref="K2"/>
    </sheetView>
  </sheetViews>
  <sheetFormatPr defaultRowHeight="15" x14ac:dyDescent="0.25"/>
  <cols>
    <col min="1" max="2" width="7.5703125" bestFit="1" customWidth="1"/>
    <col min="3" max="3" width="15.42578125" bestFit="1" customWidth="1"/>
    <col min="4" max="4" width="15.140625" bestFit="1" customWidth="1"/>
    <col min="5" max="5" width="32.7109375" bestFit="1" customWidth="1"/>
    <col min="6" max="6" width="11.42578125" bestFit="1" customWidth="1"/>
    <col min="7" max="7" width="30.7109375" bestFit="1" customWidth="1"/>
    <col min="8" max="8" width="11.5703125" bestFit="1" customWidth="1"/>
    <col min="9" max="9" width="9" bestFit="1" customWidth="1"/>
    <col min="10" max="10" width="15.7109375" bestFit="1" customWidth="1"/>
    <col min="11" max="11" width="17.5703125" customWidth="1"/>
    <col min="12" max="12" width="8.42578125" style="2" bestFit="1" customWidth="1"/>
    <col min="13" max="13" width="8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138</v>
      </c>
      <c r="L1" s="2" t="s">
        <v>139</v>
      </c>
      <c r="M1" t="s">
        <v>140</v>
      </c>
    </row>
    <row r="2" spans="1:13" x14ac:dyDescent="0.25">
      <c r="A2">
        <v>17</v>
      </c>
      <c r="B2" t="s">
        <v>146</v>
      </c>
      <c r="C2" t="s">
        <v>146</v>
      </c>
      <c r="D2" t="s">
        <v>194</v>
      </c>
      <c r="E2" t="s">
        <v>195</v>
      </c>
      <c r="F2" t="s">
        <v>83</v>
      </c>
      <c r="G2" t="s">
        <v>116</v>
      </c>
      <c r="H2" t="s">
        <v>196</v>
      </c>
      <c r="I2">
        <v>98</v>
      </c>
      <c r="J2" t="s">
        <v>118</v>
      </c>
      <c r="K2" s="3" t="str">
        <f>_xlfn.CONCAT(Table1_1[[#This Row],[Ref..2]],Table1_1[[#This Row],[Ref..3]])</f>
        <v/>
      </c>
    </row>
    <row r="3" spans="1:13" x14ac:dyDescent="0.25">
      <c r="A3">
        <v>1</v>
      </c>
      <c r="B3" t="s">
        <v>141</v>
      </c>
      <c r="C3" t="s">
        <v>142</v>
      </c>
      <c r="D3" t="s">
        <v>143</v>
      </c>
      <c r="E3" t="s">
        <v>143</v>
      </c>
      <c r="F3" t="s">
        <v>12</v>
      </c>
      <c r="G3" t="s">
        <v>144</v>
      </c>
      <c r="H3" t="s">
        <v>145</v>
      </c>
      <c r="I3">
        <v>56</v>
      </c>
      <c r="J3" t="s">
        <v>15</v>
      </c>
      <c r="K3" s="3" t="str">
        <f>_xlfn.CONCAT(Table1_1[[#This Row],[Ref..2]],Table1_1[[#This Row],[Ref..3]])</f>
        <v>1</v>
      </c>
      <c r="L3" s="2">
        <v>1</v>
      </c>
    </row>
    <row r="4" spans="1:13" x14ac:dyDescent="0.25">
      <c r="A4">
        <v>7</v>
      </c>
      <c r="B4" t="s">
        <v>142</v>
      </c>
      <c r="C4" t="s">
        <v>146</v>
      </c>
      <c r="D4" t="s">
        <v>165</v>
      </c>
      <c r="E4" t="s">
        <v>166</v>
      </c>
      <c r="F4" t="s">
        <v>56</v>
      </c>
      <c r="G4" t="s">
        <v>57</v>
      </c>
      <c r="H4" t="s">
        <v>154</v>
      </c>
      <c r="I4">
        <v>131</v>
      </c>
      <c r="J4" t="s">
        <v>58</v>
      </c>
      <c r="K4" s="3" t="str">
        <f>_xlfn.CONCAT(Table1_1[[#This Row],[Ref..2]],Table1_1[[#This Row],[Ref..3]])</f>
        <v>11</v>
      </c>
      <c r="L4" s="2">
        <v>11</v>
      </c>
    </row>
    <row r="5" spans="1:13" x14ac:dyDescent="0.25">
      <c r="A5">
        <v>7</v>
      </c>
      <c r="B5" t="s">
        <v>146</v>
      </c>
      <c r="C5" t="s">
        <v>146</v>
      </c>
      <c r="D5" t="s">
        <v>167</v>
      </c>
      <c r="E5" t="s">
        <v>167</v>
      </c>
      <c r="F5" t="s">
        <v>36</v>
      </c>
      <c r="G5" t="s">
        <v>168</v>
      </c>
      <c r="H5" t="s">
        <v>145</v>
      </c>
      <c r="I5">
        <v>41</v>
      </c>
      <c r="J5" t="s">
        <v>62</v>
      </c>
      <c r="K5" s="3" t="str">
        <f>_xlfn.CONCAT(Table1_1[[#This Row],[Ref..2]],Table1_1[[#This Row],[Ref..3]])</f>
        <v>12</v>
      </c>
      <c r="L5" s="2">
        <v>12</v>
      </c>
    </row>
    <row r="6" spans="1:13" x14ac:dyDescent="0.25">
      <c r="A6">
        <v>9</v>
      </c>
      <c r="B6" t="s">
        <v>146</v>
      </c>
      <c r="C6" t="s">
        <v>146</v>
      </c>
      <c r="D6" t="s">
        <v>169</v>
      </c>
      <c r="E6" t="s">
        <v>170</v>
      </c>
      <c r="F6" t="s">
        <v>149</v>
      </c>
      <c r="G6" t="s">
        <v>66</v>
      </c>
      <c r="H6" t="s">
        <v>171</v>
      </c>
      <c r="I6">
        <v>49</v>
      </c>
      <c r="J6" t="s">
        <v>67</v>
      </c>
      <c r="K6" s="3" t="str">
        <f>_xlfn.CONCAT(Table1_1[[#This Row],[Ref..2]],Table1_1[[#This Row],[Ref..3]])</f>
        <v>13</v>
      </c>
      <c r="L6" s="2">
        <v>13</v>
      </c>
    </row>
    <row r="7" spans="1:13" x14ac:dyDescent="0.25">
      <c r="A7">
        <v>10</v>
      </c>
      <c r="B7" t="s">
        <v>146</v>
      </c>
      <c r="C7" t="s">
        <v>146</v>
      </c>
      <c r="D7" t="s">
        <v>172</v>
      </c>
      <c r="E7" t="s">
        <v>173</v>
      </c>
      <c r="F7" t="s">
        <v>12</v>
      </c>
      <c r="G7" t="s">
        <v>71</v>
      </c>
      <c r="H7" t="s">
        <v>174</v>
      </c>
      <c r="I7">
        <v>85</v>
      </c>
      <c r="J7" t="s">
        <v>72</v>
      </c>
      <c r="K7" s="3" t="str">
        <f>_xlfn.CONCAT(Table1_1[[#This Row],[Ref..2]],Table1_1[[#This Row],[Ref..3]])</f>
        <v>14</v>
      </c>
      <c r="L7" s="2">
        <v>14</v>
      </c>
    </row>
    <row r="8" spans="1:13" x14ac:dyDescent="0.25">
      <c r="A8">
        <v>11</v>
      </c>
      <c r="B8" t="s">
        <v>146</v>
      </c>
      <c r="C8" t="s">
        <v>146</v>
      </c>
      <c r="D8" t="s">
        <v>176</v>
      </c>
      <c r="E8" t="s">
        <v>177</v>
      </c>
      <c r="F8" t="s">
        <v>149</v>
      </c>
      <c r="G8" t="s">
        <v>76</v>
      </c>
      <c r="H8" t="s">
        <v>178</v>
      </c>
      <c r="I8">
        <v>132</v>
      </c>
      <c r="J8" t="s">
        <v>78</v>
      </c>
      <c r="K8" s="3" t="str">
        <f>_xlfn.CONCAT(Table1_1[[#This Row],[Ref..2]],Table1_1[[#This Row],[Ref..3]])</f>
        <v>1516</v>
      </c>
      <c r="L8" s="2">
        <v>15</v>
      </c>
      <c r="M8">
        <v>16</v>
      </c>
    </row>
    <row r="9" spans="1:13" x14ac:dyDescent="0.25">
      <c r="A9">
        <v>12</v>
      </c>
      <c r="B9" t="s">
        <v>146</v>
      </c>
      <c r="C9" t="s">
        <v>175</v>
      </c>
      <c r="D9" t="s">
        <v>179</v>
      </c>
      <c r="E9" t="s">
        <v>180</v>
      </c>
      <c r="F9" t="s">
        <v>83</v>
      </c>
      <c r="G9" t="s">
        <v>84</v>
      </c>
      <c r="H9" t="s">
        <v>181</v>
      </c>
      <c r="I9">
        <v>203</v>
      </c>
      <c r="J9" t="s">
        <v>86</v>
      </c>
      <c r="K9" s="3" t="str">
        <f>_xlfn.CONCAT(Table1_1[[#This Row],[Ref..2]],Table1_1[[#This Row],[Ref..3]])</f>
        <v>18</v>
      </c>
      <c r="L9" s="2">
        <v>18</v>
      </c>
    </row>
    <row r="10" spans="1:13" x14ac:dyDescent="0.25">
      <c r="A10">
        <v>13</v>
      </c>
      <c r="B10" t="s">
        <v>146</v>
      </c>
      <c r="C10" t="s">
        <v>146</v>
      </c>
      <c r="D10" t="s">
        <v>182</v>
      </c>
      <c r="E10" t="s">
        <v>183</v>
      </c>
      <c r="F10" t="s">
        <v>90</v>
      </c>
      <c r="G10" t="s">
        <v>91</v>
      </c>
      <c r="H10" t="s">
        <v>184</v>
      </c>
      <c r="I10">
        <v>151</v>
      </c>
      <c r="J10" t="s">
        <v>93</v>
      </c>
      <c r="K10" s="3" t="str">
        <f>_xlfn.CONCAT(Table1_1[[#This Row],[Ref..2]],Table1_1[[#This Row],[Ref..3]])</f>
        <v>19</v>
      </c>
      <c r="L10" s="2">
        <v>19</v>
      </c>
    </row>
    <row r="11" spans="1:13" x14ac:dyDescent="0.25">
      <c r="A11">
        <v>14</v>
      </c>
      <c r="B11" t="s">
        <v>141</v>
      </c>
      <c r="C11" t="s">
        <v>146</v>
      </c>
      <c r="D11" t="s">
        <v>185</v>
      </c>
      <c r="E11" t="s">
        <v>186</v>
      </c>
      <c r="F11" t="s">
        <v>98</v>
      </c>
      <c r="G11" t="s">
        <v>187</v>
      </c>
      <c r="H11" t="s">
        <v>188</v>
      </c>
      <c r="I11">
        <v>325</v>
      </c>
      <c r="J11" t="s">
        <v>101</v>
      </c>
      <c r="K11" s="3" t="str">
        <f>_xlfn.CONCAT(Table1_1[[#This Row],[Ref..2]],Table1_1[[#This Row],[Ref..3]])</f>
        <v>20</v>
      </c>
      <c r="L11" s="2">
        <v>20</v>
      </c>
    </row>
    <row r="12" spans="1:13" x14ac:dyDescent="0.25">
      <c r="A12">
        <v>16</v>
      </c>
      <c r="B12" t="s">
        <v>146</v>
      </c>
      <c r="C12" t="s">
        <v>146</v>
      </c>
      <c r="D12" t="s">
        <v>192</v>
      </c>
      <c r="E12" t="s">
        <v>193</v>
      </c>
      <c r="F12" t="s">
        <v>36</v>
      </c>
      <c r="G12" t="s">
        <v>111</v>
      </c>
      <c r="H12" t="s">
        <v>178</v>
      </c>
      <c r="I12">
        <v>142</v>
      </c>
      <c r="J12" t="s">
        <v>112</v>
      </c>
      <c r="K12" s="3" t="str">
        <f>_xlfn.CONCAT(Table1_1[[#This Row],[Ref..2]],Table1_1[[#This Row],[Ref..3]])</f>
        <v>22</v>
      </c>
      <c r="L12" s="2">
        <v>22</v>
      </c>
    </row>
    <row r="13" spans="1:13" x14ac:dyDescent="0.25">
      <c r="A13">
        <v>19</v>
      </c>
      <c r="B13" t="s">
        <v>146</v>
      </c>
      <c r="C13" t="s">
        <v>146</v>
      </c>
      <c r="D13" t="s">
        <v>200</v>
      </c>
      <c r="E13" t="s">
        <v>201</v>
      </c>
      <c r="F13" t="s">
        <v>128</v>
      </c>
      <c r="G13" t="s">
        <v>129</v>
      </c>
      <c r="H13" t="s">
        <v>202</v>
      </c>
      <c r="I13">
        <v>121</v>
      </c>
      <c r="J13" t="s">
        <v>131</v>
      </c>
      <c r="K13" s="3" t="str">
        <f>_xlfn.CONCAT(Table1_1[[#This Row],[Ref..2]],Table1_1[[#This Row],[Ref..3]])</f>
        <v>25</v>
      </c>
      <c r="L13" s="2">
        <v>25</v>
      </c>
    </row>
    <row r="14" spans="1:13" x14ac:dyDescent="0.25">
      <c r="A14">
        <v>20</v>
      </c>
      <c r="B14" t="s">
        <v>146</v>
      </c>
      <c r="C14" t="s">
        <v>146</v>
      </c>
      <c r="D14" t="s">
        <v>203</v>
      </c>
      <c r="E14" t="s">
        <v>204</v>
      </c>
      <c r="F14" t="s">
        <v>12</v>
      </c>
      <c r="G14" t="s">
        <v>135</v>
      </c>
      <c r="H14" t="s">
        <v>178</v>
      </c>
      <c r="I14">
        <v>86</v>
      </c>
      <c r="J14" t="s">
        <v>136</v>
      </c>
      <c r="K14" s="3" t="str">
        <f>_xlfn.CONCAT(Table1_1[[#This Row],[Ref..2]],Table1_1[[#This Row],[Ref..3]])</f>
        <v>26</v>
      </c>
      <c r="L14" s="2">
        <v>26</v>
      </c>
    </row>
    <row r="15" spans="1:13" x14ac:dyDescent="0.25">
      <c r="A15">
        <v>2</v>
      </c>
      <c r="B15" t="s">
        <v>141</v>
      </c>
      <c r="C15" t="s">
        <v>147</v>
      </c>
      <c r="D15" t="s">
        <v>148</v>
      </c>
      <c r="E15" t="s">
        <v>148</v>
      </c>
      <c r="F15" t="s">
        <v>149</v>
      </c>
      <c r="G15" t="s">
        <v>20</v>
      </c>
      <c r="H15" t="s">
        <v>150</v>
      </c>
      <c r="I15">
        <v>56</v>
      </c>
      <c r="J15" t="s">
        <v>21</v>
      </c>
      <c r="K15" s="3" t="str">
        <f>_xlfn.CONCAT(Table1_1[[#This Row],[Ref..2]],Table1_1[[#This Row],[Ref..3]])</f>
        <v>3</v>
      </c>
      <c r="L15" s="2">
        <v>3</v>
      </c>
    </row>
    <row r="16" spans="1:13" x14ac:dyDescent="0.25">
      <c r="A16">
        <v>18</v>
      </c>
      <c r="B16" t="s">
        <v>146</v>
      </c>
      <c r="C16" t="s">
        <v>146</v>
      </c>
      <c r="D16" t="s">
        <v>197</v>
      </c>
      <c r="E16" t="s">
        <v>198</v>
      </c>
      <c r="F16" t="s">
        <v>27</v>
      </c>
      <c r="G16" t="s">
        <v>122</v>
      </c>
      <c r="H16" t="s">
        <v>199</v>
      </c>
      <c r="I16">
        <v>82</v>
      </c>
      <c r="J16" t="s">
        <v>124</v>
      </c>
      <c r="K16" s="3" t="str">
        <f>_xlfn.CONCAT(Table1_1[[#This Row],[Ref..2]],Table1_1[[#This Row],[Ref..3]])</f>
        <v>4</v>
      </c>
      <c r="L16" s="2">
        <v>4</v>
      </c>
    </row>
    <row r="17" spans="1:12" x14ac:dyDescent="0.25">
      <c r="A17">
        <v>15</v>
      </c>
      <c r="B17" t="s">
        <v>142</v>
      </c>
      <c r="C17" t="s">
        <v>146</v>
      </c>
      <c r="D17" t="s">
        <v>189</v>
      </c>
      <c r="E17" t="s">
        <v>190</v>
      </c>
      <c r="F17" t="s">
        <v>27</v>
      </c>
      <c r="G17" t="s">
        <v>106</v>
      </c>
      <c r="H17" t="s">
        <v>191</v>
      </c>
      <c r="I17">
        <v>60</v>
      </c>
      <c r="J17" t="s">
        <v>107</v>
      </c>
      <c r="K17" s="3" t="str">
        <f>_xlfn.CONCAT(Table1_1[[#This Row],[Ref..2]],Table1_1[[#This Row],[Ref..3]])</f>
        <v>5</v>
      </c>
      <c r="L17" s="2">
        <v>5</v>
      </c>
    </row>
    <row r="18" spans="1:12" x14ac:dyDescent="0.25">
      <c r="A18">
        <v>3</v>
      </c>
      <c r="B18" t="s">
        <v>141</v>
      </c>
      <c r="C18" t="s">
        <v>142</v>
      </c>
      <c r="D18" t="s">
        <v>151</v>
      </c>
      <c r="E18" t="s">
        <v>152</v>
      </c>
      <c r="F18" t="s">
        <v>27</v>
      </c>
      <c r="G18" t="s">
        <v>153</v>
      </c>
      <c r="H18" t="s">
        <v>154</v>
      </c>
      <c r="I18">
        <v>85</v>
      </c>
      <c r="J18" t="s">
        <v>30</v>
      </c>
      <c r="K18" s="3" t="str">
        <f>_xlfn.CONCAT(Table1_1[[#This Row],[Ref..2]],Table1_1[[#This Row],[Ref..3]])</f>
        <v>6</v>
      </c>
      <c r="L18" s="2">
        <v>6</v>
      </c>
    </row>
    <row r="19" spans="1:12" x14ac:dyDescent="0.25">
      <c r="A19">
        <v>4</v>
      </c>
      <c r="B19" t="s">
        <v>142</v>
      </c>
      <c r="C19" t="s">
        <v>155</v>
      </c>
      <c r="D19" t="s">
        <v>156</v>
      </c>
      <c r="E19" t="s">
        <v>157</v>
      </c>
      <c r="F19" t="s">
        <v>36</v>
      </c>
      <c r="G19" t="s">
        <v>37</v>
      </c>
      <c r="H19" t="s">
        <v>158</v>
      </c>
      <c r="I19">
        <v>156</v>
      </c>
      <c r="J19" t="s">
        <v>39</v>
      </c>
      <c r="K19" s="3" t="str">
        <f>_xlfn.CONCAT(Table1_1[[#This Row],[Ref..2]],Table1_1[[#This Row],[Ref..3]])</f>
        <v>7</v>
      </c>
      <c r="L19" s="2">
        <v>7</v>
      </c>
    </row>
    <row r="20" spans="1:12" x14ac:dyDescent="0.25">
      <c r="A20">
        <v>5</v>
      </c>
      <c r="B20" t="s">
        <v>142</v>
      </c>
      <c r="C20" t="s">
        <v>146</v>
      </c>
      <c r="D20" t="s">
        <v>159</v>
      </c>
      <c r="E20" t="s">
        <v>160</v>
      </c>
      <c r="F20" t="s">
        <v>12</v>
      </c>
      <c r="G20" t="s">
        <v>44</v>
      </c>
      <c r="H20" t="s">
        <v>161</v>
      </c>
      <c r="I20">
        <v>53</v>
      </c>
      <c r="J20" t="s">
        <v>45</v>
      </c>
      <c r="K20" s="3" t="str">
        <f>_xlfn.CONCAT(Table1_1[[#This Row],[Ref..2]],Table1_1[[#This Row],[Ref..3]])</f>
        <v>8</v>
      </c>
      <c r="L20" s="2">
        <v>8</v>
      </c>
    </row>
    <row r="21" spans="1:12" x14ac:dyDescent="0.25">
      <c r="A21">
        <v>6</v>
      </c>
      <c r="B21" t="s">
        <v>142</v>
      </c>
      <c r="C21" t="s">
        <v>155</v>
      </c>
      <c r="D21" t="s">
        <v>162</v>
      </c>
      <c r="E21" t="s">
        <v>163</v>
      </c>
      <c r="F21" t="s">
        <v>27</v>
      </c>
      <c r="G21" t="s">
        <v>50</v>
      </c>
      <c r="H21" t="s">
        <v>164</v>
      </c>
      <c r="I21">
        <v>88</v>
      </c>
      <c r="J21" t="s">
        <v>51</v>
      </c>
      <c r="K21" s="3" t="str">
        <f>_xlfn.CONCAT(Table1_1[[#This Row],[Ref..2]],Table1_1[[#This Row],[Ref..3]])</f>
        <v>9</v>
      </c>
      <c r="L21" s="2">
        <v>9</v>
      </c>
    </row>
    <row r="24" spans="1:12" x14ac:dyDescent="0.25">
      <c r="K24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A4BC-AF56-4380-AA70-32FD53A38094}">
  <dimension ref="A1:K26"/>
  <sheetViews>
    <sheetView zoomScale="106" zoomScaleNormal="106" workbookViewId="0">
      <selection activeCell="C25" sqref="C25"/>
    </sheetView>
  </sheetViews>
  <sheetFormatPr defaultRowHeight="15" x14ac:dyDescent="0.25"/>
  <cols>
    <col min="1" max="1" width="11.42578125" customWidth="1"/>
    <col min="2" max="2" width="10.5703125" customWidth="1"/>
    <col min="3" max="3" width="15.140625" customWidth="1"/>
    <col min="4" max="4" width="19.140625" customWidth="1"/>
    <col min="5" max="5" width="31.85546875" customWidth="1"/>
    <col min="6" max="6" width="21.28515625" customWidth="1"/>
    <col min="7" max="7" width="37.42578125" customWidth="1"/>
    <col min="8" max="8" width="12.5703125" customWidth="1"/>
    <col min="9" max="9" width="12.42578125" customWidth="1"/>
    <col min="10" max="10" width="15.42578125" customWidth="1"/>
    <col min="11" max="11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>
        <v>2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>
        <v>56</v>
      </c>
      <c r="J2" t="s">
        <v>15</v>
      </c>
      <c r="K2" t="s">
        <v>16</v>
      </c>
    </row>
    <row r="3" spans="1:11" x14ac:dyDescent="0.25">
      <c r="A3">
        <v>2</v>
      </c>
      <c r="B3">
        <v>1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>
        <v>2023</v>
      </c>
      <c r="I3">
        <v>56</v>
      </c>
      <c r="J3" t="s">
        <v>21</v>
      </c>
      <c r="K3" t="s">
        <v>22</v>
      </c>
    </row>
    <row r="4" spans="1:11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85</v>
      </c>
      <c r="J4" t="s">
        <v>30</v>
      </c>
      <c r="K4" t="s">
        <v>31</v>
      </c>
    </row>
    <row r="5" spans="1:11" x14ac:dyDescent="0.2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>
        <v>156</v>
      </c>
      <c r="J5" t="s">
        <v>39</v>
      </c>
      <c r="K5" t="s">
        <v>40</v>
      </c>
    </row>
    <row r="6" spans="1:11" x14ac:dyDescent="0.25">
      <c r="A6">
        <v>5</v>
      </c>
      <c r="B6" t="s">
        <v>41</v>
      </c>
      <c r="D6" t="s">
        <v>42</v>
      </c>
      <c r="E6" t="s">
        <v>43</v>
      </c>
      <c r="F6" t="s">
        <v>12</v>
      </c>
      <c r="G6" t="s">
        <v>44</v>
      </c>
      <c r="H6">
        <v>2018</v>
      </c>
      <c r="I6">
        <v>53</v>
      </c>
      <c r="J6" t="s">
        <v>45</v>
      </c>
      <c r="K6" t="s">
        <v>46</v>
      </c>
    </row>
    <row r="7" spans="1:11" x14ac:dyDescent="0.25">
      <c r="A7">
        <v>6</v>
      </c>
      <c r="B7" t="s">
        <v>41</v>
      </c>
      <c r="C7" t="s">
        <v>47</v>
      </c>
      <c r="D7" t="s">
        <v>48</v>
      </c>
      <c r="E7" t="s">
        <v>49</v>
      </c>
      <c r="F7" t="s">
        <v>27</v>
      </c>
      <c r="G7" t="s">
        <v>50</v>
      </c>
      <c r="H7">
        <v>2012</v>
      </c>
      <c r="I7">
        <v>88</v>
      </c>
      <c r="J7" t="s">
        <v>51</v>
      </c>
      <c r="K7" t="s">
        <v>52</v>
      </c>
    </row>
    <row r="8" spans="1:11" x14ac:dyDescent="0.25">
      <c r="A8">
        <v>7</v>
      </c>
      <c r="B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29</v>
      </c>
      <c r="I8">
        <v>131</v>
      </c>
      <c r="J8" t="s">
        <v>58</v>
      </c>
      <c r="K8" t="s">
        <v>59</v>
      </c>
    </row>
    <row r="9" spans="1:11" x14ac:dyDescent="0.25">
      <c r="A9">
        <v>7</v>
      </c>
      <c r="D9" t="s">
        <v>60</v>
      </c>
      <c r="E9" t="s">
        <v>60</v>
      </c>
      <c r="F9" t="s">
        <v>36</v>
      </c>
      <c r="G9" t="s">
        <v>61</v>
      </c>
      <c r="H9" t="s">
        <v>14</v>
      </c>
      <c r="I9">
        <v>41</v>
      </c>
      <c r="J9" t="s">
        <v>62</v>
      </c>
      <c r="K9" t="s">
        <v>63</v>
      </c>
    </row>
    <row r="10" spans="1:11" x14ac:dyDescent="0.25">
      <c r="A10">
        <v>9</v>
      </c>
      <c r="D10" t="s">
        <v>64</v>
      </c>
      <c r="E10" t="s">
        <v>65</v>
      </c>
      <c r="F10" t="s">
        <v>19</v>
      </c>
      <c r="G10" t="s">
        <v>66</v>
      </c>
      <c r="H10">
        <v>2016</v>
      </c>
      <c r="I10">
        <v>49</v>
      </c>
      <c r="J10" t="s">
        <v>67</v>
      </c>
      <c r="K10" t="s">
        <v>68</v>
      </c>
    </row>
    <row r="11" spans="1:11" x14ac:dyDescent="0.25">
      <c r="A11">
        <v>10</v>
      </c>
      <c r="D11" t="s">
        <v>69</v>
      </c>
      <c r="E11" t="s">
        <v>70</v>
      </c>
      <c r="F11" t="s">
        <v>12</v>
      </c>
      <c r="G11" t="s">
        <v>71</v>
      </c>
      <c r="H11">
        <v>2015</v>
      </c>
      <c r="I11">
        <v>85</v>
      </c>
      <c r="J11" t="s">
        <v>72</v>
      </c>
      <c r="K11" t="s">
        <v>73</v>
      </c>
    </row>
    <row r="12" spans="1:11" x14ac:dyDescent="0.25">
      <c r="A12">
        <v>11</v>
      </c>
      <c r="D12" t="s">
        <v>74</v>
      </c>
      <c r="E12" t="s">
        <v>75</v>
      </c>
      <c r="F12" t="s">
        <v>19</v>
      </c>
      <c r="G12" t="s">
        <v>76</v>
      </c>
      <c r="H12" t="s">
        <v>77</v>
      </c>
      <c r="I12">
        <v>132</v>
      </c>
      <c r="J12" t="s">
        <v>78</v>
      </c>
      <c r="K12" t="s">
        <v>79</v>
      </c>
    </row>
    <row r="13" spans="1:11" x14ac:dyDescent="0.25">
      <c r="A13">
        <v>12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>
        <v>203</v>
      </c>
      <c r="J13" t="s">
        <v>86</v>
      </c>
      <c r="K13" t="s">
        <v>87</v>
      </c>
    </row>
    <row r="14" spans="1:11" x14ac:dyDescent="0.25">
      <c r="A14">
        <v>13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>
        <v>151</v>
      </c>
      <c r="J14" t="s">
        <v>93</v>
      </c>
      <c r="K14" t="s">
        <v>94</v>
      </c>
    </row>
    <row r="15" spans="1:11" x14ac:dyDescent="0.25">
      <c r="A15">
        <v>14</v>
      </c>
      <c r="B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>
        <v>325</v>
      </c>
      <c r="J15" t="s">
        <v>101</v>
      </c>
      <c r="K15" t="s">
        <v>102</v>
      </c>
    </row>
    <row r="16" spans="1:11" x14ac:dyDescent="0.25">
      <c r="A16">
        <v>15</v>
      </c>
      <c r="B16" t="s">
        <v>103</v>
      </c>
      <c r="D16" t="s">
        <v>104</v>
      </c>
      <c r="E16" t="s">
        <v>105</v>
      </c>
      <c r="F16" t="s">
        <v>27</v>
      </c>
      <c r="G16" t="s">
        <v>106</v>
      </c>
      <c r="H16">
        <v>2006</v>
      </c>
      <c r="I16">
        <v>60</v>
      </c>
      <c r="J16" t="s">
        <v>107</v>
      </c>
      <c r="K16" t="s">
        <v>108</v>
      </c>
    </row>
    <row r="17" spans="1:11" x14ac:dyDescent="0.25">
      <c r="A17">
        <v>16</v>
      </c>
      <c r="D17" t="s">
        <v>109</v>
      </c>
      <c r="E17" t="s">
        <v>110</v>
      </c>
      <c r="F17" t="s">
        <v>36</v>
      </c>
      <c r="G17" t="s">
        <v>111</v>
      </c>
      <c r="H17" t="s">
        <v>77</v>
      </c>
      <c r="I17">
        <v>142</v>
      </c>
      <c r="J17" t="s">
        <v>112</v>
      </c>
      <c r="K17" t="s">
        <v>113</v>
      </c>
    </row>
    <row r="18" spans="1:11" x14ac:dyDescent="0.25">
      <c r="A18">
        <v>17</v>
      </c>
      <c r="D18" t="s">
        <v>114</v>
      </c>
      <c r="E18" t="s">
        <v>115</v>
      </c>
      <c r="F18" t="s">
        <v>83</v>
      </c>
      <c r="G18" t="s">
        <v>116</v>
      </c>
      <c r="H18" t="s">
        <v>117</v>
      </c>
      <c r="I18">
        <v>98</v>
      </c>
      <c r="J18" t="s">
        <v>118</v>
      </c>
      <c r="K18" t="s">
        <v>119</v>
      </c>
    </row>
    <row r="19" spans="1:11" x14ac:dyDescent="0.25">
      <c r="A19">
        <v>18</v>
      </c>
      <c r="D19" t="s">
        <v>120</v>
      </c>
      <c r="E19" t="s">
        <v>121</v>
      </c>
      <c r="F19" t="s">
        <v>27</v>
      </c>
      <c r="G19" t="s">
        <v>122</v>
      </c>
      <c r="H19" t="s">
        <v>123</v>
      </c>
      <c r="I19">
        <v>82</v>
      </c>
      <c r="J19" t="s">
        <v>124</v>
      </c>
      <c r="K19" t="s">
        <v>125</v>
      </c>
    </row>
    <row r="20" spans="1:11" x14ac:dyDescent="0.25">
      <c r="A20">
        <v>19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>
        <v>121</v>
      </c>
      <c r="J20" t="s">
        <v>131</v>
      </c>
      <c r="K20" t="s">
        <v>132</v>
      </c>
    </row>
    <row r="21" spans="1:11" x14ac:dyDescent="0.25">
      <c r="A21">
        <v>20</v>
      </c>
      <c r="D21" t="s">
        <v>133</v>
      </c>
      <c r="E21" t="s">
        <v>134</v>
      </c>
      <c r="F21" t="s">
        <v>12</v>
      </c>
      <c r="G21" t="s">
        <v>135</v>
      </c>
      <c r="H21" t="s">
        <v>77</v>
      </c>
      <c r="I21">
        <v>86</v>
      </c>
      <c r="J21" t="s">
        <v>136</v>
      </c>
      <c r="K21" t="s">
        <v>137</v>
      </c>
    </row>
    <row r="26" spans="1:11" ht="18.75" x14ac:dyDescent="0.25">
      <c r="J2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2C80-5273-473F-A04D-C4CB2AE76EF2}">
  <dimension ref="A1:B30"/>
  <sheetViews>
    <sheetView workbookViewId="0">
      <selection activeCell="I9" sqref="I9"/>
    </sheetView>
  </sheetViews>
  <sheetFormatPr defaultRowHeight="15" x14ac:dyDescent="0.25"/>
  <sheetData>
    <row r="1" spans="1:2" x14ac:dyDescent="0.25">
      <c r="A1" s="4" t="s">
        <v>233</v>
      </c>
      <c r="B1" s="4" t="s">
        <v>234</v>
      </c>
    </row>
    <row r="2" spans="1:2" x14ac:dyDescent="0.25">
      <c r="A2" s="5">
        <v>1</v>
      </c>
      <c r="B2" s="5">
        <v>90</v>
      </c>
    </row>
    <row r="3" spans="1:2" x14ac:dyDescent="0.25">
      <c r="A3" s="5">
        <v>2</v>
      </c>
      <c r="B3" s="5">
        <v>91</v>
      </c>
    </row>
    <row r="4" spans="1:2" x14ac:dyDescent="0.25">
      <c r="A4" s="5">
        <v>3</v>
      </c>
      <c r="B4" s="5">
        <v>92</v>
      </c>
    </row>
    <row r="5" spans="1:2" x14ac:dyDescent="0.25">
      <c r="A5" s="5">
        <v>4</v>
      </c>
      <c r="B5" s="5">
        <v>93</v>
      </c>
    </row>
    <row r="6" spans="1:2" x14ac:dyDescent="0.25">
      <c r="A6" s="5">
        <v>5</v>
      </c>
      <c r="B6" s="5">
        <v>94</v>
      </c>
    </row>
    <row r="7" spans="1:2" x14ac:dyDescent="0.25">
      <c r="A7" s="5">
        <v>6</v>
      </c>
      <c r="B7" s="5">
        <v>95</v>
      </c>
    </row>
    <row r="8" spans="1:2" x14ac:dyDescent="0.25">
      <c r="A8" s="5">
        <v>7</v>
      </c>
      <c r="B8" s="5">
        <v>96</v>
      </c>
    </row>
    <row r="9" spans="1:2" x14ac:dyDescent="0.25">
      <c r="A9" s="5">
        <v>8</v>
      </c>
      <c r="B9" s="5">
        <v>97</v>
      </c>
    </row>
    <row r="10" spans="1:2" x14ac:dyDescent="0.25">
      <c r="A10" s="5">
        <v>9</v>
      </c>
      <c r="B10" s="5">
        <v>98</v>
      </c>
    </row>
    <row r="11" spans="1:2" x14ac:dyDescent="0.25">
      <c r="A11" s="5">
        <v>10</v>
      </c>
      <c r="B11" s="5">
        <v>99</v>
      </c>
    </row>
    <row r="12" spans="1:2" x14ac:dyDescent="0.25">
      <c r="A12" s="5">
        <v>11</v>
      </c>
      <c r="B12" s="5">
        <v>100</v>
      </c>
    </row>
    <row r="13" spans="1:2" x14ac:dyDescent="0.25">
      <c r="A13" s="5">
        <v>12</v>
      </c>
      <c r="B13" s="5">
        <v>101</v>
      </c>
    </row>
    <row r="14" spans="1:2" x14ac:dyDescent="0.25">
      <c r="A14" s="5">
        <v>13</v>
      </c>
      <c r="B14" s="5">
        <v>102</v>
      </c>
    </row>
    <row r="15" spans="1:2" x14ac:dyDescent="0.25">
      <c r="A15" s="5">
        <v>14</v>
      </c>
      <c r="B15" s="5">
        <v>103</v>
      </c>
    </row>
    <row r="16" spans="1:2" x14ac:dyDescent="0.25">
      <c r="A16" s="5">
        <v>15</v>
      </c>
      <c r="B16" s="5">
        <v>104</v>
      </c>
    </row>
    <row r="17" spans="1:2" x14ac:dyDescent="0.25">
      <c r="A17" s="5">
        <v>16</v>
      </c>
      <c r="B17" s="5">
        <v>105</v>
      </c>
    </row>
    <row r="18" spans="1:2" x14ac:dyDescent="0.25">
      <c r="A18" s="5">
        <v>17</v>
      </c>
      <c r="B18" s="5">
        <v>106</v>
      </c>
    </row>
    <row r="19" spans="1:2" x14ac:dyDescent="0.25">
      <c r="A19" s="5">
        <v>18</v>
      </c>
      <c r="B19" s="5">
        <v>107</v>
      </c>
    </row>
    <row r="20" spans="1:2" x14ac:dyDescent="0.25">
      <c r="A20" s="5">
        <v>19</v>
      </c>
      <c r="B20" s="5">
        <v>108</v>
      </c>
    </row>
    <row r="21" spans="1:2" x14ac:dyDescent="0.25">
      <c r="A21" s="5">
        <v>20</v>
      </c>
      <c r="B21" s="5">
        <v>109</v>
      </c>
    </row>
    <row r="22" spans="1:2" x14ac:dyDescent="0.25">
      <c r="A22" s="5">
        <v>21</v>
      </c>
      <c r="B22" s="5">
        <v>110</v>
      </c>
    </row>
    <row r="23" spans="1:2" x14ac:dyDescent="0.25">
      <c r="A23" s="5">
        <v>22</v>
      </c>
      <c r="B23" s="5">
        <v>111</v>
      </c>
    </row>
    <row r="24" spans="1:2" x14ac:dyDescent="0.25">
      <c r="A24" s="5">
        <v>23</v>
      </c>
      <c r="B24" s="5">
        <v>112</v>
      </c>
    </row>
    <row r="25" spans="1:2" x14ac:dyDescent="0.25">
      <c r="A25" s="5">
        <v>24</v>
      </c>
      <c r="B25" s="5">
        <v>113</v>
      </c>
    </row>
    <row r="26" spans="1:2" x14ac:dyDescent="0.25">
      <c r="A26" s="5">
        <v>25</v>
      </c>
      <c r="B26" s="5">
        <v>114</v>
      </c>
    </row>
    <row r="27" spans="1:2" x14ac:dyDescent="0.25">
      <c r="A27" s="5">
        <v>26</v>
      </c>
      <c r="B27" s="5">
        <v>115</v>
      </c>
    </row>
    <row r="28" spans="1:2" x14ac:dyDescent="0.25">
      <c r="A28" s="5">
        <v>27</v>
      </c>
      <c r="B28" s="5">
        <v>116</v>
      </c>
    </row>
    <row r="29" spans="1:2" x14ac:dyDescent="0.25">
      <c r="A29" s="5">
        <v>28</v>
      </c>
      <c r="B29" s="5">
        <v>117</v>
      </c>
    </row>
    <row r="30" spans="1:2" x14ac:dyDescent="0.25">
      <c r="A30" s="5">
        <v>29</v>
      </c>
      <c r="B30" s="5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BABE-4358-4FC8-BD55-78929663A91D}">
  <dimension ref="A1"/>
  <sheetViews>
    <sheetView workbookViewId="0">
      <selection activeCell="C25" sqref="C2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5AD3-FC31-4F42-95BA-1E57168F3BBF}">
  <dimension ref="A1:B30"/>
  <sheetViews>
    <sheetView workbookViewId="0">
      <selection activeCell="M12" sqref="M12"/>
    </sheetView>
  </sheetViews>
  <sheetFormatPr defaultRowHeight="15" x14ac:dyDescent="0.25"/>
  <sheetData>
    <row r="1" spans="1:2" x14ac:dyDescent="0.25">
      <c r="A1" s="4" t="s">
        <v>233</v>
      </c>
      <c r="B1" s="4" t="s">
        <v>234</v>
      </c>
    </row>
    <row r="2" spans="1:2" x14ac:dyDescent="0.25">
      <c r="A2" s="5">
        <v>1</v>
      </c>
      <c r="B2" s="5">
        <v>90</v>
      </c>
    </row>
    <row r="3" spans="1:2" x14ac:dyDescent="0.25">
      <c r="A3" s="5">
        <v>2</v>
      </c>
      <c r="B3" s="5">
        <v>91</v>
      </c>
    </row>
    <row r="4" spans="1:2" x14ac:dyDescent="0.25">
      <c r="A4" s="5">
        <v>3</v>
      </c>
      <c r="B4" s="5">
        <v>92</v>
      </c>
    </row>
    <row r="5" spans="1:2" x14ac:dyDescent="0.25">
      <c r="A5" s="5">
        <v>4</v>
      </c>
      <c r="B5" s="5">
        <v>93</v>
      </c>
    </row>
    <row r="6" spans="1:2" x14ac:dyDescent="0.25">
      <c r="A6" s="5">
        <v>5</v>
      </c>
      <c r="B6" s="5">
        <v>94</v>
      </c>
    </row>
    <row r="7" spans="1:2" x14ac:dyDescent="0.25">
      <c r="A7" s="5">
        <v>6</v>
      </c>
      <c r="B7" s="5">
        <v>95</v>
      </c>
    </row>
    <row r="8" spans="1:2" x14ac:dyDescent="0.25">
      <c r="A8" s="5">
        <v>7</v>
      </c>
      <c r="B8" s="5">
        <v>96</v>
      </c>
    </row>
    <row r="9" spans="1:2" x14ac:dyDescent="0.25">
      <c r="A9" s="5">
        <v>8</v>
      </c>
      <c r="B9" s="5">
        <v>97</v>
      </c>
    </row>
    <row r="10" spans="1:2" x14ac:dyDescent="0.25">
      <c r="A10" s="5">
        <v>9</v>
      </c>
      <c r="B10" s="5">
        <v>98</v>
      </c>
    </row>
    <row r="11" spans="1:2" x14ac:dyDescent="0.25">
      <c r="A11" s="5">
        <v>10</v>
      </c>
      <c r="B11" s="5">
        <v>99</v>
      </c>
    </row>
    <row r="12" spans="1:2" x14ac:dyDescent="0.25">
      <c r="A12" s="5">
        <v>11</v>
      </c>
      <c r="B12" s="5">
        <v>100</v>
      </c>
    </row>
    <row r="13" spans="1:2" x14ac:dyDescent="0.25">
      <c r="A13" s="5">
        <v>12</v>
      </c>
      <c r="B13" s="5">
        <v>101</v>
      </c>
    </row>
    <row r="14" spans="1:2" x14ac:dyDescent="0.25">
      <c r="A14" s="5">
        <v>13</v>
      </c>
      <c r="B14" s="5">
        <v>102</v>
      </c>
    </row>
    <row r="15" spans="1:2" x14ac:dyDescent="0.25">
      <c r="A15" s="5">
        <v>14</v>
      </c>
      <c r="B15" s="5">
        <v>103</v>
      </c>
    </row>
    <row r="16" spans="1:2" x14ac:dyDescent="0.25">
      <c r="A16" s="5">
        <v>15</v>
      </c>
      <c r="B16" s="5">
        <v>104</v>
      </c>
    </row>
    <row r="17" spans="1:2" x14ac:dyDescent="0.25">
      <c r="A17" s="5">
        <v>16</v>
      </c>
      <c r="B17" s="5">
        <v>105</v>
      </c>
    </row>
    <row r="18" spans="1:2" x14ac:dyDescent="0.25">
      <c r="A18" s="5">
        <v>17</v>
      </c>
      <c r="B18" s="5">
        <v>106</v>
      </c>
    </row>
    <row r="19" spans="1:2" x14ac:dyDescent="0.25">
      <c r="A19" s="5">
        <v>18</v>
      </c>
      <c r="B19" s="5">
        <v>107</v>
      </c>
    </row>
    <row r="20" spans="1:2" x14ac:dyDescent="0.25">
      <c r="A20" s="5">
        <v>19</v>
      </c>
      <c r="B20" s="5">
        <v>108</v>
      </c>
    </row>
    <row r="21" spans="1:2" x14ac:dyDescent="0.25">
      <c r="A21" s="5">
        <v>20</v>
      </c>
      <c r="B21" s="5">
        <v>109</v>
      </c>
    </row>
    <row r="22" spans="1:2" x14ac:dyDescent="0.25">
      <c r="A22" s="5">
        <v>21</v>
      </c>
      <c r="B22" s="5">
        <v>110</v>
      </c>
    </row>
    <row r="23" spans="1:2" x14ac:dyDescent="0.25">
      <c r="A23" s="5">
        <v>22</v>
      </c>
      <c r="B23" s="5">
        <v>111</v>
      </c>
    </row>
    <row r="24" spans="1:2" x14ac:dyDescent="0.25">
      <c r="A24" s="5">
        <v>23</v>
      </c>
      <c r="B24" s="5">
        <v>112</v>
      </c>
    </row>
    <row r="25" spans="1:2" x14ac:dyDescent="0.25">
      <c r="A25" s="5">
        <v>24</v>
      </c>
      <c r="B25" s="5">
        <v>113</v>
      </c>
    </row>
    <row r="26" spans="1:2" x14ac:dyDescent="0.25">
      <c r="A26" s="5">
        <v>25</v>
      </c>
      <c r="B26" s="5">
        <v>114</v>
      </c>
    </row>
    <row r="27" spans="1:2" x14ac:dyDescent="0.25">
      <c r="A27" s="5">
        <v>26</v>
      </c>
      <c r="B27" s="5">
        <v>115</v>
      </c>
    </row>
    <row r="28" spans="1:2" x14ac:dyDescent="0.25">
      <c r="A28" s="5">
        <v>27</v>
      </c>
      <c r="B28" s="5">
        <v>116</v>
      </c>
    </row>
    <row r="29" spans="1:2" x14ac:dyDescent="0.25">
      <c r="A29" s="5">
        <v>28</v>
      </c>
      <c r="B29" s="5">
        <v>117</v>
      </c>
    </row>
    <row r="30" spans="1:2" x14ac:dyDescent="0.25">
      <c r="A30" s="5">
        <v>29</v>
      </c>
      <c r="B30" s="5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3C1B4C1-F5D7-4FD7-8048-269AF7F3B262}">
  <ds:schemaRefs/>
</ds:datastoreItem>
</file>

<file path=customXml/itemProps2.xml><?xml version="1.0" encoding="utf-8"?>
<ds:datastoreItem xmlns:ds="http://schemas.openxmlformats.org/officeDocument/2006/customXml" ds:itemID="{D49CEA3E-ED83-4F70-B0B8-8C315AB875EB}">
  <ds:schemaRefs/>
</ds:datastoreItem>
</file>

<file path=customXml/itemProps3.xml><?xml version="1.0" encoding="utf-8"?>
<ds:datastoreItem xmlns:ds="http://schemas.openxmlformats.org/officeDocument/2006/customXml" ds:itemID="{C307C1A6-4E31-43EC-80DF-A87CF0AFE6B1}">
  <ds:schemaRefs/>
</ds:datastoreItem>
</file>

<file path=customXml/itemProps4.xml><?xml version="1.0" encoding="utf-8"?>
<ds:datastoreItem xmlns:ds="http://schemas.openxmlformats.org/officeDocument/2006/customXml" ds:itemID="{48CA3B26-5DC1-4638-86D7-A2F86602529A}">
  <ds:schemaRefs/>
</ds:datastoreItem>
</file>

<file path=customXml/itemProps5.xml><?xml version="1.0" encoding="utf-8"?>
<ds:datastoreItem xmlns:ds="http://schemas.openxmlformats.org/officeDocument/2006/customXml" ds:itemID="{912FA27E-A4C8-41BC-87B6-E0D6D6B7BB4C}">
  <ds:schemaRefs/>
</ds:datastoreItem>
</file>

<file path=customXml/itemProps6.xml><?xml version="1.0" encoding="utf-8"?>
<ds:datastoreItem xmlns:ds="http://schemas.openxmlformats.org/officeDocument/2006/customXml" ds:itemID="{CC22F362-EDF7-4567-B63F-DC29EA6EC024}">
  <ds:schemaRefs/>
</ds:datastoreItem>
</file>

<file path=customXml/itemProps7.xml><?xml version="1.0" encoding="utf-8"?>
<ds:datastoreItem xmlns:ds="http://schemas.openxmlformats.org/officeDocument/2006/customXml" ds:itemID="{24592AD9-5DA8-4979-B754-8BF347F7200B}">
  <ds:schemaRefs/>
</ds:datastoreItem>
</file>

<file path=customXml/itemProps8.xml><?xml version="1.0" encoding="utf-8"?>
<ds:datastoreItem xmlns:ds="http://schemas.openxmlformats.org/officeDocument/2006/customXml" ds:itemID="{CF4D1DE4-F47E-4035-B19D-D29A746AFED9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A4EF672F-78CD-4BD8-8872-EA17DC1F3BD3}">
  <ds:schemaRefs/>
</ds:datastoreItem>
</file>

<file path=customXml/itemProps10.xml><?xml version="1.0" encoding="utf-8"?>
<ds:datastoreItem xmlns:ds="http://schemas.openxmlformats.org/officeDocument/2006/customXml" ds:itemID="{95173C67-2366-47CA-B942-6678DCA61D2C}">
  <ds:schemaRefs/>
</ds:datastoreItem>
</file>

<file path=customXml/itemProps11.xml><?xml version="1.0" encoding="utf-8"?>
<ds:datastoreItem xmlns:ds="http://schemas.openxmlformats.org/officeDocument/2006/customXml" ds:itemID="{BCFD488E-60C9-4D50-845F-7780ED3BADE8}">
  <ds:schemaRefs/>
</ds:datastoreItem>
</file>

<file path=customXml/itemProps12.xml><?xml version="1.0" encoding="utf-8"?>
<ds:datastoreItem xmlns:ds="http://schemas.openxmlformats.org/officeDocument/2006/customXml" ds:itemID="{ECD146D6-C73A-4ABC-808B-4C0A513C0E10}">
  <ds:schemaRefs/>
</ds:datastoreItem>
</file>

<file path=customXml/itemProps13.xml><?xml version="1.0" encoding="utf-8"?>
<ds:datastoreItem xmlns:ds="http://schemas.openxmlformats.org/officeDocument/2006/customXml" ds:itemID="{2000A6CB-0D65-422A-B6FF-3CA877034C2F}">
  <ds:schemaRefs/>
</ds:datastoreItem>
</file>

<file path=customXml/itemProps14.xml><?xml version="1.0" encoding="utf-8"?>
<ds:datastoreItem xmlns:ds="http://schemas.openxmlformats.org/officeDocument/2006/customXml" ds:itemID="{95DD4AE1-AC72-45DF-8826-B91C61621DB5}">
  <ds:schemaRefs/>
</ds:datastoreItem>
</file>

<file path=customXml/itemProps15.xml><?xml version="1.0" encoding="utf-8"?>
<ds:datastoreItem xmlns:ds="http://schemas.openxmlformats.org/officeDocument/2006/customXml" ds:itemID="{A85FE254-AF89-4018-B377-FAA75BDE8DF3}">
  <ds:schemaRefs/>
</ds:datastoreItem>
</file>

<file path=customXml/itemProps16.xml><?xml version="1.0" encoding="utf-8"?>
<ds:datastoreItem xmlns:ds="http://schemas.openxmlformats.org/officeDocument/2006/customXml" ds:itemID="{743258E6-4CD4-4C14-B31C-2D6FF0CB05C2}">
  <ds:schemaRefs/>
</ds:datastoreItem>
</file>

<file path=customXml/itemProps17.xml><?xml version="1.0" encoding="utf-8"?>
<ds:datastoreItem xmlns:ds="http://schemas.openxmlformats.org/officeDocument/2006/customXml" ds:itemID="{4CEB4752-CFA7-427B-9D26-2D530B78BE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Table1_1 (2)</vt:lpstr>
      <vt:lpstr>Table5_1</vt:lpstr>
      <vt:lpstr>Table5</vt:lpstr>
      <vt:lpstr>Sheet1</vt:lpstr>
      <vt:lpstr>Table1_1</vt:lpstr>
      <vt:lpstr>Table1</vt:lpstr>
      <vt:lpstr>my_file (1)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2026-06-06T08:35:46Z</dcterms:created>
  <dcterms:modified xsi:type="dcterms:W3CDTF">2026-06-15T09:52:36Z</dcterms:modified>
</cp:coreProperties>
</file>